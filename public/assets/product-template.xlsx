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编码\"/>
    </mc:Choice>
  </mc:AlternateContent>
  <bookViews>
    <workbookView windowWidth="27945" windowHeight="11925"/>
  </bookViews>
  <sheets>
    <sheet name="sheet" sheetId="1" r:id="rId1"/>
  </sheets>
  <definedNames>
    <definedName name="_xlnm._FilterDatabase" localSheetId="0" hidden="1">sheet!$A$1:$AC$101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<sst xmlns="http://schemas.openxmlformats.org/spreadsheetml/2006/main" count="1329" uniqueCount="245">
  <si>
    <t>序号</t>
  </si>
  <si>
    <t>平台</t>
  </si>
  <si>
    <t>店铺</t>
  </si>
  <si>
    <t>平台商品名称</t>
  </si>
  <si>
    <t>平台规格名称</t>
  </si>
  <si>
    <t>品牌</t>
  </si>
  <si>
    <t>商品标签</t>
  </si>
  <si>
    <t>尺寸</t>
  </si>
  <si>
    <t>平米数</t>
  </si>
  <si>
    <t>宽</t>
  </si>
  <si>
    <t>长</t>
  </si>
  <si>
    <t>重量</t>
  </si>
  <si>
    <t>成本价</t>
  </si>
  <si>
    <t>商家编码旧</t>
  </si>
  <si>
    <t>主条码</t>
  </si>
  <si>
    <t>平台商品编码</t>
  </si>
  <si>
    <t>平台商家编码</t>
  </si>
  <si>
    <t>平台商品ID</t>
  </si>
  <si>
    <t>平台规格ID</t>
  </si>
  <si>
    <t>平台售价</t>
  </si>
  <si>
    <t>售卖状态</t>
  </si>
  <si>
    <t>平台库存</t>
  </si>
  <si>
    <t>规格类型</t>
  </si>
  <si>
    <t>货品名称</t>
  </si>
  <si>
    <t>货品编码</t>
  </si>
  <si>
    <t>货品简称</t>
  </si>
  <si>
    <t>规格名称</t>
  </si>
  <si>
    <t>商家编码（新）</t>
  </si>
  <si>
    <t>规格简称</t>
  </si>
  <si>
    <t>抖音</t>
  </si>
  <si>
    <t>南波万地垫地毯-dy</t>
  </si>
  <si>
    <t>繁花仿亚麻硅藻泥脚垫地垫吸水耐脏防滑卫生间门口脚踏垫浴室地垫</t>
  </si>
  <si>
    <t>碎花;40*60cm【升级吸水款】基础款【硅藻泥】</t>
  </si>
  <si>
    <t>etc7tpr8</t>
  </si>
  <si>
    <t/>
  </si>
  <si>
    <t>3840975453225615387</t>
  </si>
  <si>
    <t>3710730965688578</t>
  </si>
  <si>
    <t>在售</t>
  </si>
  <si>
    <t>碎花;50*80cm【升级吸水款】热销推荐【硅藻泥】</t>
  </si>
  <si>
    <t>3822595243904205148</t>
  </si>
  <si>
    <t>3710730965688834</t>
  </si>
  <si>
    <t>碎花;60*90cm【升级吸水款】大尺寸吸水【硅藻泥】</t>
  </si>
  <si>
    <t>3710730965689090</t>
  </si>
  <si>
    <t>繁花;40*60cm【升级吸水款】基础款【硅藻泥】</t>
  </si>
  <si>
    <t>3710730965689346</t>
  </si>
  <si>
    <t>繁花;50*80cm【升级吸水款】热销推荐【硅藻泥】</t>
  </si>
  <si>
    <t>3710730965689602</t>
  </si>
  <si>
    <t>繁花;60*90cm【升级吸水款】大尺寸吸水【硅藻泥】</t>
  </si>
  <si>
    <t>3710730965689858</t>
  </si>
  <si>
    <t>编织;40*60cm【升级吸水款】基础款【硅藻泥】</t>
  </si>
  <si>
    <t>3710730965690114</t>
  </si>
  <si>
    <t>编织;50*80cm【升级吸水款】热销推荐【硅藻泥】</t>
  </si>
  <si>
    <t>3710730965690370</t>
  </si>
  <si>
    <t>编织;60*90cm【升级吸水款】大尺寸吸水【硅藻泥】</t>
  </si>
  <si>
    <t>3710730965690626</t>
  </si>
  <si>
    <t>鲜花;40*60cm【升级吸水款】基础款【硅藻泥】</t>
  </si>
  <si>
    <t>3710730965690882</t>
  </si>
  <si>
    <t>鲜花;50*80cm【升级吸水款】热销推荐【硅藻泥】</t>
  </si>
  <si>
    <t>3710730965691138</t>
  </si>
  <si>
    <t>鲜花;60*90cm【升级吸水款】大尺寸吸水【硅藻泥】</t>
  </si>
  <si>
    <t>3710730965691394</t>
  </si>
  <si>
    <t>碎花;45*70cm【升级吸水款】性价比【硅藻泥】</t>
  </si>
  <si>
    <t>3710731174752258</t>
  </si>
  <si>
    <t>繁花;45*70cm【升级吸水款】性价比【硅藻泥】</t>
  </si>
  <si>
    <t>3710731174752514</t>
  </si>
  <si>
    <t>编织;45*70cm【升级吸水款】性价比【硅藻泥】</t>
  </si>
  <si>
    <t>3710731174752770</t>
  </si>
  <si>
    <t>鲜花;45*70cm【升级吸水款】性价比【硅藻泥】</t>
  </si>
  <si>
    <t>3710731174753026</t>
  </si>
  <si>
    <t>曦和地毯-dy</t>
  </si>
  <si>
    <t>高级浴室地垫厕所卫生间门口脚垫吸水耐脏防滑客厅亚麻编织速干垫</t>
  </si>
  <si>
    <t>萨丽麻橡胶底马蹄形麻纹回框;40*60cm【吸水;;厂家直销】【亚麻】</t>
  </si>
  <si>
    <t>a52</t>
  </si>
  <si>
    <t>3736713593241075931</t>
  </si>
  <si>
    <t>3840979926635381174</t>
  </si>
  <si>
    <t>3710544359745282</t>
  </si>
  <si>
    <t>萨丽麻橡胶底马蹄形麻纹回框;50*80cm【Q弹舒适;;品质选择】【亚麻】</t>
  </si>
  <si>
    <t>3710544359745538</t>
  </si>
  <si>
    <t>萨丽麻橡胶底马蹄形麻纹回框;60*90cm【强烈止滑;;升级加厚】【亚麻】</t>
  </si>
  <si>
    <t>3710544359745794</t>
  </si>
  <si>
    <t>萨丽麻橡胶底方形麻纹回框;40*60cm【吸水;;厂家直销】【亚麻】</t>
  </si>
  <si>
    <t>3710544359746050</t>
  </si>
  <si>
    <t>萨丽麻橡胶底方形麻纹回框;50*80cm【Q弹舒适;;品质选择】【亚麻】</t>
  </si>
  <si>
    <t>3710544359746306</t>
  </si>
  <si>
    <t>萨丽麻橡胶底方形麻纹回框;60*90cm【强烈止滑;;升级加厚】【亚麻】</t>
  </si>
  <si>
    <t>3710544359746562</t>
  </si>
  <si>
    <t>萨丽麻橡胶底马蹄形麻纹春风;40*60cm【吸水;;厂家直销】【亚麻】</t>
  </si>
  <si>
    <t>3710544359746818</t>
  </si>
  <si>
    <t>萨丽麻橡胶底马蹄形麻纹春风;50*80cm【Q弹舒适;;品质选择】【亚麻】</t>
  </si>
  <si>
    <t>3710544359747074</t>
  </si>
  <si>
    <t>萨丽麻橡胶底马蹄形麻纹春风;60*90cm【强烈止滑;;升级加厚】【亚麻】</t>
  </si>
  <si>
    <t>3710544359747330</t>
  </si>
  <si>
    <t>萨丽麻橡胶底方形麻纹春风;40*60cm【吸水;;厂家直销】【亚麻】</t>
  </si>
  <si>
    <t>3710544359747586</t>
  </si>
  <si>
    <t>萨丽麻橡胶底方形麻纹春风;50*80cm【Q弹舒适;;品质选择】【亚麻】</t>
  </si>
  <si>
    <t>3710544359747842</t>
  </si>
  <si>
    <t>萨丽麻橡胶底方形麻纹春风;60*90cm【强烈止滑;;升级加厚】【亚麻】</t>
  </si>
  <si>
    <t>3710544359748098</t>
  </si>
  <si>
    <t>萨丽麻橡胶底马蹄形麻纹香叶;40*60cm【吸水;;厂家直销】【亚麻】</t>
  </si>
  <si>
    <t>3710544359748354</t>
  </si>
  <si>
    <t>萨丽麻橡胶底马蹄形麻纹香叶;50*80cm【Q弹舒适;;品质选择】【亚麻】</t>
  </si>
  <si>
    <t>3710544359748610</t>
  </si>
  <si>
    <t>萨丽麻橡胶底马蹄形麻纹香叶;60*90cm【强烈止滑;;升级加厚】【亚麻】</t>
  </si>
  <si>
    <t>3710544359748866</t>
  </si>
  <si>
    <t>萨丽麻橡胶底方形麻纹香叶;40*60cm【吸水;;厂家直销】【亚麻】</t>
  </si>
  <si>
    <t>3710544359749122</t>
  </si>
  <si>
    <t>萨丽麻橡胶底方形麻纹香叶;50*80cm【Q弹舒适;;品质选择】【亚麻】</t>
  </si>
  <si>
    <t>3710544359749378</t>
  </si>
  <si>
    <t>萨丽麻橡胶底方形麻纹香叶;60*90cm【强烈止滑;;升级加厚】【亚麻】</t>
  </si>
  <si>
    <t>3710544359749634</t>
  </si>
  <si>
    <t>萨丽麻橡胶底马蹄形斑驳编织棕;40*60cm【吸水;;厂家直销】【亚麻】</t>
  </si>
  <si>
    <t>3710544359749890</t>
  </si>
  <si>
    <t>萨丽麻橡胶底马蹄形斑驳编织棕;50*80cm【Q弹舒适;;品质选择】【亚麻】</t>
  </si>
  <si>
    <t>3710544359750146</t>
  </si>
  <si>
    <t>萨丽麻橡胶底马蹄形斑驳编织棕;60*90cm【强烈止滑;;升级加厚】【亚麻】</t>
  </si>
  <si>
    <t>3710544359750402</t>
  </si>
  <si>
    <t>萨丽麻橡胶底马蹄形斑驳编织灰;40*60cm【吸水;;厂家直销】【亚麻】</t>
  </si>
  <si>
    <t>3710544359750658</t>
  </si>
  <si>
    <t>萨丽麻橡胶底马蹄形斑驳编织灰;50*80cm【Q弹舒适;;品质选择】【亚麻】</t>
  </si>
  <si>
    <t>3710544359750914</t>
  </si>
  <si>
    <t>萨丽麻橡胶底马蹄形斑驳编织灰;60*90cm【强烈止滑;;升级加厚】【亚麻】</t>
  </si>
  <si>
    <t>3710544359751170</t>
  </si>
  <si>
    <t>萨丽麻橡胶底马蹄形几何棕;40*60cm【吸水;;厂家直销】【亚麻】</t>
  </si>
  <si>
    <t>3710544359751426</t>
  </si>
  <si>
    <t>萨丽麻橡胶底马蹄形几何棕;50*80cm【Q弹舒适;;品质选择】【亚麻】</t>
  </si>
  <si>
    <t>3710544359751682</t>
  </si>
  <si>
    <t>萨丽麻橡胶底马蹄形几何棕;60*90cm【强烈止滑;;升级加厚】【亚麻】</t>
  </si>
  <si>
    <t>3710544359751938</t>
  </si>
  <si>
    <t>萨丽麻橡胶底马蹄形几何灰;40*60cm【吸水;;厂家直销】【亚麻】</t>
  </si>
  <si>
    <t>3710544359752194</t>
  </si>
  <si>
    <t>萨丽麻橡胶底马蹄形几何灰;50*80cm【Q弹舒适;;品质选择】【亚麻】</t>
  </si>
  <si>
    <t>3710544359752450</t>
  </si>
  <si>
    <t>萨丽麻橡胶底马蹄形几何灰;60*90cm【强烈止滑;;升级加厚】【亚麻】</t>
  </si>
  <si>
    <t>3710544359752706</t>
  </si>
  <si>
    <t>萨丽麻橡胶底马蹄形沐然方格棕;40*60cm【吸水;;厂家直销】【亚麻】</t>
  </si>
  <si>
    <t>3710544359752962</t>
  </si>
  <si>
    <t>萨丽麻橡胶底马蹄形沐然方格棕;50*80cm【Q弹舒适;;品质选择】【亚麻】</t>
  </si>
  <si>
    <t>3710544359753218</t>
  </si>
  <si>
    <t>萨丽麻橡胶底马蹄形沐然方格棕;60*90cm【强烈止滑;;升级加厚】【亚麻】</t>
  </si>
  <si>
    <t>3710544359753474</t>
  </si>
  <si>
    <t>萨丽麻橡胶底马蹄形沐然方格灰;40*60cm【吸水;;厂家直销】【亚麻】</t>
  </si>
  <si>
    <t>3710544359753730</t>
  </si>
  <si>
    <t>萨丽麻橡胶底马蹄形沐然方格灰;50*80cm【Q弹舒适;;品质选择】【亚麻】</t>
  </si>
  <si>
    <t>3710544359753986</t>
  </si>
  <si>
    <t>萨丽麻橡胶底马蹄形沐然方格灰;60*90cm【强烈止滑;;升级加厚】【亚麻】</t>
  </si>
  <si>
    <t>3710544359754242</t>
  </si>
  <si>
    <t>萨丽麻橡胶底马蹄形素雅菱纹棕;40*60cm【吸水;;厂家直销】【亚麻】</t>
  </si>
  <si>
    <t>3710544359754498</t>
  </si>
  <si>
    <t>萨丽麻橡胶底马蹄形素雅菱纹棕;50*80cm【Q弹舒适;;品质选择】【亚麻】</t>
  </si>
  <si>
    <t>3710544359754754</t>
  </si>
  <si>
    <t>萨丽麻橡胶底马蹄形素雅菱纹棕;60*90cm【强烈止滑;;升级加厚】【亚麻】</t>
  </si>
  <si>
    <t>3710544359755010</t>
  </si>
  <si>
    <t>萨丽麻橡胶底马蹄形素雅菱纹灰;40*60cm【吸水;;厂家直销】【亚麻】</t>
  </si>
  <si>
    <t>3710544359755266</t>
  </si>
  <si>
    <t>萨丽麻橡胶底马蹄形素雅菱纹灰;50*80cm【Q弹舒适;;品质选择】【亚麻】</t>
  </si>
  <si>
    <t>3710544359755522</t>
  </si>
  <si>
    <t>萨丽麻橡胶底马蹄形素雅菱纹灰;60*90cm【强烈止滑;;升级加厚】【亚麻】</t>
  </si>
  <si>
    <t>3710544359755778</t>
  </si>
  <si>
    <t>萨丽麻橡胶底马蹄形织锦树叶棕;40*60cm【吸水;;厂家直销】【亚麻】</t>
  </si>
  <si>
    <t>3710544359756034</t>
  </si>
  <si>
    <t>萨丽麻橡胶底马蹄形织锦树叶棕;50*80cm【Q弹舒适;;品质选择】【亚麻】</t>
  </si>
  <si>
    <t>3710544359756290</t>
  </si>
  <si>
    <t>萨丽麻橡胶底马蹄形织锦树叶棕;60*90cm【强烈止滑;;升级加厚】【亚麻】</t>
  </si>
  <si>
    <t>3710544359756546</t>
  </si>
  <si>
    <t>萨丽麻橡胶底马蹄形织锦树叶灰;40*60cm【吸水;;厂家直销】【亚麻】</t>
  </si>
  <si>
    <t>3710544359756802</t>
  </si>
  <si>
    <t>萨丽麻橡胶底马蹄形织锦树叶灰;50*80cm【Q弹舒适;;品质选择】【亚麻】</t>
  </si>
  <si>
    <t>3710544359757058</t>
  </si>
  <si>
    <t>萨丽麻橡胶底马蹄形织锦树叶灰;60*90cm【强烈止滑;;升级加厚】【亚麻】</t>
  </si>
  <si>
    <t>3710544359757314</t>
  </si>
  <si>
    <t>萨丽麻橡胶底芳兰喜乐灰马蹄形;40*60cm【吸水;;厂家直销】【亚麻】</t>
  </si>
  <si>
    <t>3710544359757570</t>
  </si>
  <si>
    <t>萨丽麻橡胶底芳兰喜乐灰马蹄形;50*80cm【Q弹舒适;;品质选择】【亚麻】</t>
  </si>
  <si>
    <t>3710544359757826</t>
  </si>
  <si>
    <t>萨丽麻橡胶底芳兰喜乐灰马蹄形;60*90cm【强烈止滑;;升级加厚】【亚麻】</t>
  </si>
  <si>
    <t>3710544359758082</t>
  </si>
  <si>
    <t>萨丽麻橡胶底芳兰喜乐咖马蹄形;40*60cm【吸水;;厂家直销】【亚麻】</t>
  </si>
  <si>
    <t>3710544359758338</t>
  </si>
  <si>
    <t>萨丽麻橡胶底芳兰喜乐咖马蹄形;50*80cm【Q弹舒适;;品质选择】【亚麻】</t>
  </si>
  <si>
    <t>3710544359758594</t>
  </si>
  <si>
    <t>萨丽麻橡胶底芳兰喜乐咖马蹄形;60*90cm【强烈止滑;;升级加厚】【亚麻】</t>
  </si>
  <si>
    <t>3710544359758850</t>
  </si>
  <si>
    <t>萨丽麻橡胶底马蹄形麻纹回框;45*70cm【耐磨吸水;品质加厚】【亚麻】</t>
  </si>
  <si>
    <t>3710681171266050</t>
  </si>
  <si>
    <t>萨丽麻橡胶底方形麻纹回框;45*70cm【耐磨吸水;品质加厚】【亚麻】</t>
  </si>
  <si>
    <t>3710681171266306</t>
  </si>
  <si>
    <t>萨丽麻橡胶底马蹄形麻纹春风;45*70cm【耐磨吸水;品质加厚】【亚麻】</t>
  </si>
  <si>
    <t>3710681171266562</t>
  </si>
  <si>
    <t>萨丽麻橡胶底方形麻纹春风;45*70cm【耐磨吸水;品质加厚】【亚麻】</t>
  </si>
  <si>
    <t>3710681171266818</t>
  </si>
  <si>
    <t>萨丽麻橡胶底马蹄形麻纹香叶;45*70cm【耐磨吸水;品质加厚】【亚麻】</t>
  </si>
  <si>
    <t>3710681171267074</t>
  </si>
  <si>
    <t>萨丽麻橡胶底方形麻纹香叶;45*70cm【耐磨吸水;品质加厚】【亚麻】</t>
  </si>
  <si>
    <t>3710681171267330</t>
  </si>
  <si>
    <t>萨丽麻橡胶底马蹄形斑驳编织棕;45*70cm【耐磨吸水;品质加厚】【亚麻】</t>
  </si>
  <si>
    <t>3710681171267586</t>
  </si>
  <si>
    <t>萨丽麻橡胶底马蹄形斑驳编织灰;45*70cm【耐磨吸水;品质加厚】【亚麻】</t>
  </si>
  <si>
    <t>3710681171267842</t>
  </si>
  <si>
    <t>萨丽麻橡胶底马蹄形几何棕;45*70cm【耐磨吸水;品质加厚】【亚麻】</t>
  </si>
  <si>
    <t>3710681171268098</t>
  </si>
  <si>
    <t>萨丽麻橡胶底马蹄形几何灰;45*70cm【耐磨吸水;品质加厚】【亚麻】</t>
  </si>
  <si>
    <t>3710681171268354</t>
  </si>
  <si>
    <t>萨丽麻橡胶底马蹄形沐然方格棕;45*70cm【耐磨吸水;品质加厚】【亚麻】</t>
  </si>
  <si>
    <t>3710681171268610</t>
  </si>
  <si>
    <t>萨丽麻橡胶底马蹄形沐然方格灰;45*70cm【耐磨吸水;品质加厚】【亚麻】</t>
  </si>
  <si>
    <t>3710681171268866</t>
  </si>
  <si>
    <t>萨丽麻橡胶底马蹄形素雅菱纹棕;45*70cm【耐磨吸水;品质加厚】【亚麻】</t>
  </si>
  <si>
    <t>3710681171269122</t>
  </si>
  <si>
    <t>萨丽麻橡胶底马蹄形素雅菱纹灰;45*70cm【耐磨吸水;品质加厚】【亚麻】</t>
  </si>
  <si>
    <t>3710681171269378</t>
  </si>
  <si>
    <t>萨丽麻橡胶底马蹄形织锦树叶棕;45*70cm【耐磨吸水;品质加厚】【亚麻】</t>
  </si>
  <si>
    <t>3710681171269634</t>
  </si>
  <si>
    <t>萨丽麻橡胶底马蹄形织锦树叶灰;45*70cm【耐磨吸水;品质加厚】【亚麻】</t>
  </si>
  <si>
    <t>3710681171269890</t>
  </si>
  <si>
    <t>萨丽麻橡胶底芳兰喜乐灰马蹄形;45*70cm【耐磨吸水;品质加厚】【亚麻】</t>
  </si>
  <si>
    <t>3710681171270146</t>
  </si>
  <si>
    <t>萨丽麻橡胶底芳兰喜乐咖马蹄形;45*70cm【耐磨吸水;品质加厚】【亚麻】</t>
  </si>
  <si>
    <t>3710681171270402</t>
  </si>
  <si>
    <t>卡通马赛格浴室地垫卫生间门口防滑脚垫洗漱台边亚麻吸水地毯垫</t>
  </si>
  <si>
    <t>UL米色粉隅鸣羽椭圆;40*60cm【品质加厚】【亚麻】</t>
  </si>
  <si>
    <t>3837770555013071339</t>
  </si>
  <si>
    <t>3841161474777153832</t>
  </si>
  <si>
    <t>3710765728473858</t>
  </si>
  <si>
    <t>UL米色粉隅鸣羽椭圆;50*80cm【品质加厚】【亚麻】</t>
  </si>
  <si>
    <t>3710765728474114</t>
  </si>
  <si>
    <t>UL米色粉隅鸣羽椭圆;60*90cm【品质加厚】【亚麻】</t>
  </si>
  <si>
    <t>3710765728474370</t>
  </si>
  <si>
    <t>UL米色青垣雀绽椭圆;40*60cm【品质加厚】【亚麻】</t>
  </si>
  <si>
    <t>3710765728474626</t>
  </si>
  <si>
    <t>UL米色青垣雀绽椭圆;50*80cm【品质加厚】【亚麻】</t>
  </si>
  <si>
    <t>3710765728474882</t>
  </si>
  <si>
    <t>UL米色青垣雀绽椭圆;60*90cm【品质加厚】【亚麻】</t>
  </si>
  <si>
    <t>3710765728475138</t>
  </si>
  <si>
    <t>UL米色碎瓷栖燕椭圆;40*60cm【品质加厚】【亚麻】</t>
  </si>
  <si>
    <t>3710765728475394</t>
  </si>
  <si>
    <t>UL米色碎瓷栖燕椭圆;50*80cm【品质加厚】【亚麻】</t>
  </si>
  <si>
    <t>3710765728475650</t>
  </si>
  <si>
    <t>UL米色碎瓷栖燕椭圆;60*90cm【品质加厚】【亚麻】</t>
  </si>
  <si>
    <t>3710765728475906</t>
  </si>
  <si>
    <t>UL米色粉隅鸣羽椭圆;45*70cm【品质加厚】【亚麻】</t>
  </si>
  <si>
    <t>3710800030075138</t>
  </si>
  <si>
    <t>UL米色青垣雀绽椭圆;45*70cm【品质加厚】【亚麻】</t>
  </si>
  <si>
    <t>3710800030075394</t>
  </si>
  <si>
    <t>UL米色碎瓷栖燕椭圆;45*70cm【品质加厚】【亚麻】</t>
  </si>
  <si>
    <t>3710800030075650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</si>
</sst>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sz val="11"/>
      <color indexed="8"/>
      <name val="宋体"/>
      <charset val="134"/>
      <scheme val="minor"/>
    </font>
    <font>
      <b/>
      <sz val="15"/>
      <name val="Calibri"/>
      <charset val="134"/>
    </font>
    <font>
      <b/>
      <sz val="15"/>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FC000"/>
        <bgColor indexed="64"/>
      </patternFill>
    </fill>
    <fill>
      <patternFill patternType="solid">
        <fgColor theme="9" tint="0.8"/>
        <bgColor indexed="64"/>
      </patternFill>
    </fill>
    <fill>
      <patternFill patternType="solid">
        <fgColor theme="4" tint="0.6"/>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2">
    <xf numFmtId="0" fontId="0" fillId="0" borderId="0" xfId="0" applyFo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1"/>
  <sheetViews>
    <sheetView tabSelected="1" topLeftCell="W65" workbookViewId="0">
      <selection activeCell="M29" sqref="M29"/>
    </sheetView>
  </sheetViews>
  <sheetFormatPr defaultColWidth="9" defaultRowHeight="13.5"/>
  <cols>
    <col min="1" max="1" width="7.75" customWidth="1"/>
    <col min="2" max="3" width="22" customWidth="1"/>
    <col min="4" max="4" width="62.875" customWidth="1"/>
    <col min="5" max="5" width="59.5" customWidth="1"/>
    <col min="6" max="23" width="22" customWidth="1"/>
    <col min="24" max="24" width="67.75" customWidth="1"/>
    <col min="25" max="26" width="22" customWidth="1"/>
    <col min="27" max="27" width="67.75" customWidth="1"/>
    <col min="28" max="29" width="22" customWidth="1"/>
  </cols>
  <sheetData>
    <row r="1" s="1" customFormat="1" ht="30" customHeight="1" spans="1:29">
      <c r="A1" s="2" t="s">
        <v>0</v>
      </c>
      <c r="B1" s="2" t="s">
        <v>1</v>
      </c>
      <c r="C1" s="2" t="s">
        <v>2</v>
      </c>
      <c r="D1" s="2" t="s">
        <v>3</v>
      </c>
      <c r="E1" s="3" t="s">
        <v>4</v>
      </c>
      <c r="F1" s="4" t="s">
        <v>5</v>
      </c>
      <c r="G1" s="4" t="s">
        <v>6</v>
      </c>
      <c r="H1" s="5" t="s">
        <v>7</v>
      </c>
      <c r="I1" s="6" t="s">
        <v>8</v>
      </c>
      <c r="J1" s="7" t="s">
        <v>9</v>
      </c>
      <c r="K1" s="7" t="s">
        <v>10</v>
      </c>
      <c r="L1" s="7" t="s">
        <v>11</v>
      </c>
      <c r="M1" s="7" t="s">
        <v>12</v>
      </c>
      <c r="N1" s="8" t="s">
        <v>13</v>
      </c>
      <c r="O1" s="8" t="s">
        <v>14</v>
      </c>
      <c r="P1" s="2" t="s">
        <v>15</v>
      </c>
      <c r="Q1" s="2" t="s">
        <v>16</v>
      </c>
      <c r="R1" s="2" t="s">
        <v>17</v>
      </c>
      <c r="S1" s="2" t="s">
        <v>18</v>
      </c>
      <c r="T1" s="2" t="s">
        <v>19</v>
      </c>
      <c r="U1" s="2" t="s">
        <v>20</v>
      </c>
      <c r="V1" s="2" t="s">
        <v>21</v>
      </c>
      <c r="W1" s="2" t="s">
        <v>22</v>
      </c>
      <c r="X1" s="9" t="s">
        <v>23</v>
      </c>
      <c r="Y1" s="2" t="s">
        <v>24</v>
      </c>
      <c r="Z1" s="2" t="s">
        <v>25</v>
      </c>
      <c r="AA1" s="9" t="s">
        <v>26</v>
      </c>
      <c r="AB1" s="2" t="s">
        <v>27</v>
      </c>
      <c r="AC1" s="2" t="s">
        <v>28</v>
      </c>
    </row>
    <row r="2" ht="15" spans="1:29">
      <c r="A2" s="10">
        <v>1</v>
      </c>
      <c r="B2" s="10" t="s">
        <v>29</v>
      </c>
      <c r="C2" s="10" t="s">
        <v>30</v>
      </c>
      <c r="D2" s="10" t="s">
        <v>31</v>
      </c>
      <c r="E2" s="10" t="s">
        <v>32</v>
      </c>
      <c r="F2" s="11" t="str" cm="1">
        <f t="array" ref="F2">_xlfn.IFS(ISNUMBER(FIND("硅藻",D2&amp;E2)),"硅藻泥",ISNUMBER(FIND("菠萝圈",D2&amp;E2)),"菠萝圈",AND(ISNUMBER(FIND("水晶绒",D2&amp;E2)),ISNUMBER(FIND("包边",D2&amp;E2))),"包边水晶绒",ISNUMBER(FIND("水晶绒",D2&amp;E2)),"水晶绒",ISNUMBER(FIND("天鹅绒",D2&amp;E2)),"天鹅绒",ISNUMBER(FIND("丝圈",D2&amp;E2)),"丝圈",ISNUMBER(FIND("仿羊绒",D2&amp;E2)),"仿羊绒",ISNUMBER(FIND("亚麻",D2&amp;E2)),"亚麻",ISNUMBER(FIND("皮革",D2&amp;E2)),"皮革",ISNUMBER(FIND("金钻绒",D2&amp;E2)),"金钻绒")</f>
        <v>硅藻泥</v>
      </c>
      <c r="G2" s="10" t="str">
        <f>F2</f>
        <v>硅藻泥</v>
      </c>
      <c r="H2" s="11" t="str" cm="1">
        <f t="array" ref="H2">_wpsfn.REGEXP(_wpsfn.REGEXP(E2,"([至乘xX✖_\-])",2,"*"),"\d+\*\d+(?:[\*\+]\d+)*")</f>
        <v>40*60</v>
      </c>
      <c r="I2" s="10">
        <f>J2*K2/10000</f>
        <v>0.24</v>
      </c>
      <c r="J2" s="10">
        <v>40</v>
      </c>
      <c r="K2" s="10">
        <v>60</v>
      </c>
      <c r="L2" s="10">
        <f>0.9*I2</f>
        <v>0.216</v>
      </c>
      <c r="M2" s="10">
        <f>9.8*I2</f>
        <v>2.352</v>
      </c>
      <c r="N2" s="10"/>
      <c r="O2" s="10"/>
      <c r="P2" s="10" t="s">
        <v>33</v>
      </c>
      <c r="Q2" s="10" t="s">
        <v>34</v>
      </c>
      <c r="R2" s="10" t="s">
        <v>35</v>
      </c>
      <c r="S2" s="10" t="s">
        <v>36</v>
      </c>
      <c r="T2" s="10">
        <v>19.98</v>
      </c>
      <c r="U2" s="10" t="s">
        <v>37</v>
      </c>
      <c r="V2" s="10">
        <v>9991</v>
      </c>
      <c r="W2" s="10" t="s">
        <v>34</v>
      </c>
      <c r="X2" s="10" t="str">
        <f>E2</f>
        <v>碎花;40*60cm【升级吸水款】基础款【硅藻泥】</v>
      </c>
      <c r="Y2" s="10" t="s">
        <v>34</v>
      </c>
      <c r="Z2" s="10" t="s">
        <v>34</v>
      </c>
      <c r="AA2" s="10" t="str">
        <f>X2</f>
        <v>碎花;40*60cm【升级吸水款】基础款【硅藻泥】</v>
      </c>
      <c r="AB2" s="10" t="str">
        <f>S2</f>
        <v>3710730965688578</v>
      </c>
      <c r="AC2" s="10" t="s">
        <v>34</v>
      </c>
    </row>
    <row r="3" ht="15" spans="1:29">
      <c r="A3" s="10">
        <v>2</v>
      </c>
      <c r="B3" s="10" t="s">
        <v>29</v>
      </c>
      <c r="C3" s="10" t="s">
        <v>30</v>
      </c>
      <c r="D3" s="10" t="s">
        <v>31</v>
      </c>
      <c r="E3" s="10" t="s">
        <v>38</v>
      </c>
      <c r="F3" s="11" t="str" cm="1">
        <f t="array" ref="F3">_xlfn.IFS(ISNUMBER(FIND("硅藻",D3&amp;E3)),"硅藻泥",ISNUMBER(FIND("菠萝圈",D3&amp;E3)),"菠萝圈",AND(ISNUMBER(FIND("水晶绒",D3&amp;E3)),ISNUMBER(FIND("包边",D3&amp;E3))),"包边水晶绒",ISNUMBER(FIND("水晶绒",D3&amp;E3)),"水晶绒",ISNUMBER(FIND("天鹅绒",D3&amp;E3)),"天鹅绒",ISNUMBER(FIND("丝圈",D3&amp;E3)),"丝圈",ISNUMBER(FIND("仿羊绒",D3&amp;E3)),"仿羊绒",ISNUMBER(FIND("亚麻",D3&amp;E3)),"亚麻",ISNUMBER(FIND("皮革",D3&amp;E3)),"皮革",ISNUMBER(FIND("金钻绒",D3&amp;E3)),"金钻绒")</f>
        <v>硅藻泥</v>
      </c>
      <c r="G3" s="10" t="str">
        <f t="shared" ref="G3:G34" si="0">F3</f>
        <v>硅藻泥</v>
      </c>
      <c r="H3" s="11" t="str" cm="1">
        <f t="array" ref="H3">_wpsfn.REGEXP(_wpsfn.REGEXP(E3,"([至乘xX✖_\-])",2,"*"),"\d+\*\d+(?:[\*\+]\d+)*")</f>
        <v>50*80</v>
      </c>
      <c r="I3" s="10">
        <f t="shared" ref="I3:I34" si="1">J3*K3/10000</f>
        <v>0.4</v>
      </c>
      <c r="J3" s="10">
        <v>50</v>
      </c>
      <c r="K3" s="10">
        <v>80</v>
      </c>
      <c r="L3" s="10">
        <f t="shared" ref="L3:L17" si="2">0.9*I3</f>
        <v>0.36</v>
      </c>
      <c r="M3" s="10">
        <f t="shared" ref="M3:M17" si="3">9.8*I3</f>
        <v>3.92</v>
      </c>
      <c r="N3" s="10"/>
      <c r="O3" s="10"/>
      <c r="P3" s="10" t="s">
        <v>33</v>
      </c>
      <c r="Q3" s="10" t="s">
        <v>39</v>
      </c>
      <c r="R3" s="10" t="s">
        <v>35</v>
      </c>
      <c r="S3" s="10" t="s">
        <v>40</v>
      </c>
      <c r="T3" s="10">
        <v>31.98</v>
      </c>
      <c r="U3" s="10" t="s">
        <v>37</v>
      </c>
      <c r="V3" s="10">
        <v>98820</v>
      </c>
      <c r="W3" s="10" t="s">
        <v>34</v>
      </c>
      <c r="X3" s="10" t="str">
        <f t="shared" ref="X3:X34" si="4">E3</f>
        <v>碎花;50*80cm【升级吸水款】热销推荐【硅藻泥】</v>
      </c>
      <c r="Y3" s="10" t="s">
        <v>34</v>
      </c>
      <c r="Z3" s="10" t="s">
        <v>34</v>
      </c>
      <c r="AA3" s="10" t="str">
        <f t="shared" ref="AA3:AA34" si="5">X3</f>
        <v>碎花;50*80cm【升级吸水款】热销推荐【硅藻泥】</v>
      </c>
      <c r="AB3" s="10" t="str">
        <f t="shared" ref="AB3:AB34" si="6">S3</f>
        <v>3710730965688834</v>
      </c>
      <c r="AC3" s="10" t="s">
        <v>34</v>
      </c>
    </row>
    <row r="4" ht="15" spans="1:29">
      <c r="A4" s="10">
        <v>3</v>
      </c>
      <c r="B4" s="10" t="s">
        <v>29</v>
      </c>
      <c r="C4" s="10" t="s">
        <v>30</v>
      </c>
      <c r="D4" s="10" t="s">
        <v>31</v>
      </c>
      <c r="E4" s="10" t="s">
        <v>41</v>
      </c>
      <c r="F4" s="11" t="str" cm="1">
        <f t="array" ref="F4">_xlfn.IFS(ISNUMBER(FIND("硅藻",D4&amp;E4)),"硅藻泥",ISNUMBER(FIND("菠萝圈",D4&amp;E4)),"菠萝圈",AND(ISNUMBER(FIND("水晶绒",D4&amp;E4)),ISNUMBER(FIND("包边",D4&amp;E4))),"包边水晶绒",ISNUMBER(FIND("水晶绒",D4&amp;E4)),"水晶绒",ISNUMBER(FIND("天鹅绒",D4&amp;E4)),"天鹅绒",ISNUMBER(FIND("丝圈",D4&amp;E4)),"丝圈",ISNUMBER(FIND("仿羊绒",D4&amp;E4)),"仿羊绒",ISNUMBER(FIND("亚麻",D4&amp;E4)),"亚麻",ISNUMBER(FIND("皮革",D4&amp;E4)),"皮革",ISNUMBER(FIND("金钻绒",D4&amp;E4)),"金钻绒")</f>
        <v>硅藻泥</v>
      </c>
      <c r="G4" s="10" t="str">
        <f t="shared" si="0"/>
        <v>硅藻泥</v>
      </c>
      <c r="H4" s="11" t="str" cm="1">
        <f t="array" ref="H4">_wpsfn.REGEXP(_wpsfn.REGEXP(E4,"([至乘xX✖_\-])",2,"*"),"\d+\*\d+(?:[\*\+]\d+)*")</f>
        <v>60*90</v>
      </c>
      <c r="I4" s="10">
        <f t="shared" si="1"/>
        <v>0.54</v>
      </c>
      <c r="J4" s="10">
        <v>60</v>
      </c>
      <c r="K4" s="10">
        <v>90</v>
      </c>
      <c r="L4" s="10">
        <f t="shared" si="2"/>
        <v>0.486</v>
      </c>
      <c r="M4" s="10">
        <f t="shared" si="3"/>
        <v>5.292</v>
      </c>
      <c r="N4" s="10"/>
      <c r="O4" s="10"/>
      <c r="P4" s="10" t="s">
        <v>33</v>
      </c>
      <c r="Q4" s="10" t="s">
        <v>39</v>
      </c>
      <c r="R4" s="10" t="s">
        <v>35</v>
      </c>
      <c r="S4" s="10" t="s">
        <v>42</v>
      </c>
      <c r="T4" s="10">
        <v>47.98</v>
      </c>
      <c r="U4" s="10" t="s">
        <v>37</v>
      </c>
      <c r="V4" s="10">
        <v>98866</v>
      </c>
      <c r="W4" s="10" t="s">
        <v>34</v>
      </c>
      <c r="X4" s="10" t="str">
        <f t="shared" si="4"/>
        <v>碎花;60*90cm【升级吸水款】大尺寸吸水【硅藻泥】</v>
      </c>
      <c r="Y4" s="10" t="s">
        <v>34</v>
      </c>
      <c r="Z4" s="10" t="s">
        <v>34</v>
      </c>
      <c r="AA4" s="10" t="str">
        <f t="shared" si="5"/>
        <v>碎花;60*90cm【升级吸水款】大尺寸吸水【硅藻泥】</v>
      </c>
      <c r="AB4" s="10" t="str">
        <f t="shared" si="6"/>
        <v>3710730965689090</v>
      </c>
      <c r="AC4" s="10" t="s">
        <v>34</v>
      </c>
    </row>
    <row r="5" ht="15" spans="1:29">
      <c r="A5" s="10">
        <v>4</v>
      </c>
      <c r="B5" s="10" t="s">
        <v>29</v>
      </c>
      <c r="C5" s="10" t="s">
        <v>30</v>
      </c>
      <c r="D5" s="10" t="s">
        <v>31</v>
      </c>
      <c r="E5" s="10" t="s">
        <v>43</v>
      </c>
      <c r="F5" s="11" t="str" cm="1">
        <f t="array" ref="F5">_xlfn.IFS(ISNUMBER(FIND("硅藻",D5&amp;E5)),"硅藻泥",ISNUMBER(FIND("菠萝圈",D5&amp;E5)),"菠萝圈",AND(ISNUMBER(FIND("水晶绒",D5&amp;E5)),ISNUMBER(FIND("包边",D5&amp;E5))),"包边水晶绒",ISNUMBER(FIND("水晶绒",D5&amp;E5)),"水晶绒",ISNUMBER(FIND("天鹅绒",D5&amp;E5)),"天鹅绒",ISNUMBER(FIND("丝圈",D5&amp;E5)),"丝圈",ISNUMBER(FIND("仿羊绒",D5&amp;E5)),"仿羊绒",ISNUMBER(FIND("亚麻",D5&amp;E5)),"亚麻",ISNUMBER(FIND("皮革",D5&amp;E5)),"皮革",ISNUMBER(FIND("金钻绒",D5&amp;E5)),"金钻绒")</f>
        <v>硅藻泥</v>
      </c>
      <c r="G5" s="10" t="str">
        <f t="shared" si="0"/>
        <v>硅藻泥</v>
      </c>
      <c r="H5" s="11" t="str" cm="1">
        <f t="array" ref="H5">_wpsfn.REGEXP(_wpsfn.REGEXP(E5,"([至乘xX✖_\-])",2,"*"),"\d+\*\d+(?:[\*\+]\d+)*")</f>
        <v>40*60</v>
      </c>
      <c r="I5" s="10">
        <f t="shared" si="1"/>
        <v>0.24</v>
      </c>
      <c r="J5" s="10">
        <v>40</v>
      </c>
      <c r="K5" s="10">
        <v>60</v>
      </c>
      <c r="L5" s="10">
        <f t="shared" si="2"/>
        <v>0.216</v>
      </c>
      <c r="M5" s="10">
        <f t="shared" si="3"/>
        <v>2.352</v>
      </c>
      <c r="N5" s="10"/>
      <c r="O5" s="10"/>
      <c r="P5" s="10" t="s">
        <v>33</v>
      </c>
      <c r="Q5" s="10" t="s">
        <v>34</v>
      </c>
      <c r="R5" s="10" t="s">
        <v>35</v>
      </c>
      <c r="S5" s="10" t="s">
        <v>44</v>
      </c>
      <c r="T5" s="10">
        <v>19.98</v>
      </c>
      <c r="U5" s="10" t="s">
        <v>37</v>
      </c>
      <c r="V5" s="10">
        <v>9984</v>
      </c>
      <c r="W5" s="10" t="s">
        <v>34</v>
      </c>
      <c r="X5" s="10" t="str">
        <f t="shared" si="4"/>
        <v>繁花;40*60cm【升级吸水款】基础款【硅藻泥】</v>
      </c>
      <c r="Y5" s="10" t="s">
        <v>34</v>
      </c>
      <c r="Z5" s="10" t="s">
        <v>34</v>
      </c>
      <c r="AA5" s="10" t="str">
        <f t="shared" si="5"/>
        <v>繁花;40*60cm【升级吸水款】基础款【硅藻泥】</v>
      </c>
      <c r="AB5" s="10" t="str">
        <f t="shared" si="6"/>
        <v>3710730965689346</v>
      </c>
      <c r="AC5" s="10" t="s">
        <v>34</v>
      </c>
    </row>
    <row r="6" ht="15" spans="1:29">
      <c r="A6" s="10">
        <v>5</v>
      </c>
      <c r="B6" s="10" t="s">
        <v>29</v>
      </c>
      <c r="C6" s="10" t="s">
        <v>30</v>
      </c>
      <c r="D6" s="10" t="s">
        <v>31</v>
      </c>
      <c r="E6" s="10" t="s">
        <v>45</v>
      </c>
      <c r="F6" s="11" t="str" cm="1">
        <f t="array" ref="F6">_xlfn.IFS(ISNUMBER(FIND("硅藻",D6&amp;E6)),"硅藻泥",ISNUMBER(FIND("菠萝圈",D6&amp;E6)),"菠萝圈",AND(ISNUMBER(FIND("水晶绒",D6&amp;E6)),ISNUMBER(FIND("包边",D6&amp;E6))),"包边水晶绒",ISNUMBER(FIND("水晶绒",D6&amp;E6)),"水晶绒",ISNUMBER(FIND("天鹅绒",D6&amp;E6)),"天鹅绒",ISNUMBER(FIND("丝圈",D6&amp;E6)),"丝圈",ISNUMBER(FIND("仿羊绒",D6&amp;E6)),"仿羊绒",ISNUMBER(FIND("亚麻",D6&amp;E6)),"亚麻",ISNUMBER(FIND("皮革",D6&amp;E6)),"皮革",ISNUMBER(FIND("金钻绒",D6&amp;E6)),"金钻绒")</f>
        <v>硅藻泥</v>
      </c>
      <c r="G6" s="10" t="str">
        <f t="shared" si="0"/>
        <v>硅藻泥</v>
      </c>
      <c r="H6" s="11" t="str" cm="1">
        <f t="array" ref="H6">_wpsfn.REGEXP(_wpsfn.REGEXP(E6,"([至乘xX✖_\-])",2,"*"),"\d+\*\d+(?:[\*\+]\d+)*")</f>
        <v>50*80</v>
      </c>
      <c r="I6" s="10">
        <f t="shared" si="1"/>
        <v>0.4</v>
      </c>
      <c r="J6" s="10">
        <v>50</v>
      </c>
      <c r="K6" s="10">
        <v>80</v>
      </c>
      <c r="L6" s="10">
        <f t="shared" si="2"/>
        <v>0.36</v>
      </c>
      <c r="M6" s="10">
        <f t="shared" si="3"/>
        <v>3.92</v>
      </c>
      <c r="N6" s="10"/>
      <c r="O6" s="10"/>
      <c r="P6" s="10" t="s">
        <v>33</v>
      </c>
      <c r="Q6" s="10" t="s">
        <v>39</v>
      </c>
      <c r="R6" s="10" t="s">
        <v>35</v>
      </c>
      <c r="S6" s="10" t="s">
        <v>46</v>
      </c>
      <c r="T6" s="10">
        <v>31.98</v>
      </c>
      <c r="U6" s="10" t="s">
        <v>37</v>
      </c>
      <c r="V6" s="10">
        <v>98850</v>
      </c>
      <c r="W6" s="10" t="s">
        <v>34</v>
      </c>
      <c r="X6" s="10" t="str">
        <f t="shared" si="4"/>
        <v>繁花;50*80cm【升级吸水款】热销推荐【硅藻泥】</v>
      </c>
      <c r="Y6" s="10" t="s">
        <v>34</v>
      </c>
      <c r="Z6" s="10" t="s">
        <v>34</v>
      </c>
      <c r="AA6" s="10" t="str">
        <f t="shared" si="5"/>
        <v>繁花;50*80cm【升级吸水款】热销推荐【硅藻泥】</v>
      </c>
      <c r="AB6" s="10" t="str">
        <f t="shared" si="6"/>
        <v>3710730965689602</v>
      </c>
      <c r="AC6" s="10" t="s">
        <v>34</v>
      </c>
    </row>
    <row r="7" ht="15" spans="1:29">
      <c r="A7" s="10">
        <v>6</v>
      </c>
      <c r="B7" s="10" t="s">
        <v>29</v>
      </c>
      <c r="C7" s="10" t="s">
        <v>30</v>
      </c>
      <c r="D7" s="10" t="s">
        <v>31</v>
      </c>
      <c r="E7" s="10" t="s">
        <v>47</v>
      </c>
      <c r="F7" s="11" t="str" cm="1">
        <f t="array" ref="F7">_xlfn.IFS(ISNUMBER(FIND("硅藻",D7&amp;E7)),"硅藻泥",ISNUMBER(FIND("菠萝圈",D7&amp;E7)),"菠萝圈",AND(ISNUMBER(FIND("水晶绒",D7&amp;E7)),ISNUMBER(FIND("包边",D7&amp;E7))),"包边水晶绒",ISNUMBER(FIND("水晶绒",D7&amp;E7)),"水晶绒",ISNUMBER(FIND("天鹅绒",D7&amp;E7)),"天鹅绒",ISNUMBER(FIND("丝圈",D7&amp;E7)),"丝圈",ISNUMBER(FIND("仿羊绒",D7&amp;E7)),"仿羊绒",ISNUMBER(FIND("亚麻",D7&amp;E7)),"亚麻",ISNUMBER(FIND("皮革",D7&amp;E7)),"皮革",ISNUMBER(FIND("金钻绒",D7&amp;E7)),"金钻绒")</f>
        <v>硅藻泥</v>
      </c>
      <c r="G7" s="10" t="str">
        <f t="shared" si="0"/>
        <v>硅藻泥</v>
      </c>
      <c r="H7" s="11" t="str" cm="1">
        <f t="array" ref="H7">_wpsfn.REGEXP(_wpsfn.REGEXP(E7,"([至乘xX✖_\-])",2,"*"),"\d+\*\d+(?:[\*\+]\d+)*")</f>
        <v>60*90</v>
      </c>
      <c r="I7" s="10">
        <f t="shared" si="1"/>
        <v>0.54</v>
      </c>
      <c r="J7" s="10">
        <v>60</v>
      </c>
      <c r="K7" s="10">
        <v>90</v>
      </c>
      <c r="L7" s="10">
        <f t="shared" si="2"/>
        <v>0.486</v>
      </c>
      <c r="M7" s="10">
        <f t="shared" si="3"/>
        <v>5.292</v>
      </c>
      <c r="N7" s="10"/>
      <c r="O7" s="10"/>
      <c r="P7" s="10" t="s">
        <v>33</v>
      </c>
      <c r="Q7" s="10" t="s">
        <v>39</v>
      </c>
      <c r="R7" s="10" t="s">
        <v>35</v>
      </c>
      <c r="S7" s="10" t="s">
        <v>48</v>
      </c>
      <c r="T7" s="10">
        <v>47.98</v>
      </c>
      <c r="U7" s="10" t="s">
        <v>37</v>
      </c>
      <c r="V7" s="10">
        <v>98871</v>
      </c>
      <c r="W7" s="10" t="s">
        <v>34</v>
      </c>
      <c r="X7" s="10" t="str">
        <f t="shared" si="4"/>
        <v>繁花;60*90cm【升级吸水款】大尺寸吸水【硅藻泥】</v>
      </c>
      <c r="Y7" s="10" t="s">
        <v>34</v>
      </c>
      <c r="Z7" s="10" t="s">
        <v>34</v>
      </c>
      <c r="AA7" s="10" t="str">
        <f t="shared" si="5"/>
        <v>繁花;60*90cm【升级吸水款】大尺寸吸水【硅藻泥】</v>
      </c>
      <c r="AB7" s="10" t="str">
        <f t="shared" si="6"/>
        <v>3710730965689858</v>
      </c>
      <c r="AC7" s="10" t="s">
        <v>34</v>
      </c>
    </row>
    <row r="8" ht="15" spans="1:29">
      <c r="A8" s="10">
        <v>7</v>
      </c>
      <c r="B8" s="10" t="s">
        <v>29</v>
      </c>
      <c r="C8" s="10" t="s">
        <v>30</v>
      </c>
      <c r="D8" s="10" t="s">
        <v>31</v>
      </c>
      <c r="E8" s="10" t="s">
        <v>49</v>
      </c>
      <c r="F8" s="11" t="str" cm="1">
        <f t="array" ref="F8">_xlfn.IFS(ISNUMBER(FIND("硅藻",D8&amp;E8)),"硅藻泥",ISNUMBER(FIND("菠萝圈",D8&amp;E8)),"菠萝圈",AND(ISNUMBER(FIND("水晶绒",D8&amp;E8)),ISNUMBER(FIND("包边",D8&amp;E8))),"包边水晶绒",ISNUMBER(FIND("水晶绒",D8&amp;E8)),"水晶绒",ISNUMBER(FIND("天鹅绒",D8&amp;E8)),"天鹅绒",ISNUMBER(FIND("丝圈",D8&amp;E8)),"丝圈",ISNUMBER(FIND("仿羊绒",D8&amp;E8)),"仿羊绒",ISNUMBER(FIND("亚麻",D8&amp;E8)),"亚麻",ISNUMBER(FIND("皮革",D8&amp;E8)),"皮革",ISNUMBER(FIND("金钻绒",D8&amp;E8)),"金钻绒")</f>
        <v>硅藻泥</v>
      </c>
      <c r="G8" s="10" t="str">
        <f t="shared" si="0"/>
        <v>硅藻泥</v>
      </c>
      <c r="H8" s="11" t="str" cm="1">
        <f t="array" ref="H8">_wpsfn.REGEXP(_wpsfn.REGEXP(E8,"([至乘xX✖_\-])",2,"*"),"\d+\*\d+(?:[\*\+]\d+)*")</f>
        <v>40*60</v>
      </c>
      <c r="I8" s="10">
        <f t="shared" si="1"/>
        <v>0.24</v>
      </c>
      <c r="J8" s="10">
        <v>40</v>
      </c>
      <c r="K8" s="10">
        <v>60</v>
      </c>
      <c r="L8" s="10">
        <f t="shared" si="2"/>
        <v>0.216</v>
      </c>
      <c r="M8" s="10">
        <f t="shared" si="3"/>
        <v>2.352</v>
      </c>
      <c r="N8" s="10"/>
      <c r="O8" s="10"/>
      <c r="P8" s="10" t="s">
        <v>33</v>
      </c>
      <c r="Q8" s="10" t="s">
        <v>34</v>
      </c>
      <c r="R8" s="10" t="s">
        <v>35</v>
      </c>
      <c r="S8" s="10" t="s">
        <v>50</v>
      </c>
      <c r="T8" s="10">
        <v>19.98</v>
      </c>
      <c r="U8" s="10" t="s">
        <v>37</v>
      </c>
      <c r="V8" s="10">
        <v>9997</v>
      </c>
      <c r="W8" s="10" t="s">
        <v>34</v>
      </c>
      <c r="X8" s="10" t="str">
        <f t="shared" si="4"/>
        <v>编织;40*60cm【升级吸水款】基础款【硅藻泥】</v>
      </c>
      <c r="Y8" s="10" t="s">
        <v>34</v>
      </c>
      <c r="Z8" s="10" t="s">
        <v>34</v>
      </c>
      <c r="AA8" s="10" t="str">
        <f t="shared" si="5"/>
        <v>编织;40*60cm【升级吸水款】基础款【硅藻泥】</v>
      </c>
      <c r="AB8" s="10" t="str">
        <f t="shared" si="6"/>
        <v>3710730965690114</v>
      </c>
      <c r="AC8" s="10" t="s">
        <v>34</v>
      </c>
    </row>
    <row r="9" ht="15" spans="1:29">
      <c r="A9" s="10">
        <v>8</v>
      </c>
      <c r="B9" s="10" t="s">
        <v>29</v>
      </c>
      <c r="C9" s="10" t="s">
        <v>30</v>
      </c>
      <c r="D9" s="10" t="s">
        <v>31</v>
      </c>
      <c r="E9" s="10" t="s">
        <v>51</v>
      </c>
      <c r="F9" s="11" t="str" cm="1">
        <f t="array" ref="F9">_xlfn.IFS(ISNUMBER(FIND("硅藻",D9&amp;E9)),"硅藻泥",ISNUMBER(FIND("菠萝圈",D9&amp;E9)),"菠萝圈",AND(ISNUMBER(FIND("水晶绒",D9&amp;E9)),ISNUMBER(FIND("包边",D9&amp;E9))),"包边水晶绒",ISNUMBER(FIND("水晶绒",D9&amp;E9)),"水晶绒",ISNUMBER(FIND("天鹅绒",D9&amp;E9)),"天鹅绒",ISNUMBER(FIND("丝圈",D9&amp;E9)),"丝圈",ISNUMBER(FIND("仿羊绒",D9&amp;E9)),"仿羊绒",ISNUMBER(FIND("亚麻",D9&amp;E9)),"亚麻",ISNUMBER(FIND("皮革",D9&amp;E9)),"皮革",ISNUMBER(FIND("金钻绒",D9&amp;E9)),"金钻绒")</f>
        <v>硅藻泥</v>
      </c>
      <c r="G9" s="10" t="str">
        <f t="shared" si="0"/>
        <v>硅藻泥</v>
      </c>
      <c r="H9" s="11" t="str" cm="1">
        <f t="array" ref="H9">_wpsfn.REGEXP(_wpsfn.REGEXP(E9,"([至乘xX✖_\-])",2,"*"),"\d+\*\d+(?:[\*\+]\d+)*")</f>
        <v>50*80</v>
      </c>
      <c r="I9" s="10">
        <f t="shared" si="1"/>
        <v>0.4</v>
      </c>
      <c r="J9" s="10">
        <v>50</v>
      </c>
      <c r="K9" s="10">
        <v>80</v>
      </c>
      <c r="L9" s="10">
        <f t="shared" si="2"/>
        <v>0.36</v>
      </c>
      <c r="M9" s="10">
        <f t="shared" si="3"/>
        <v>3.92</v>
      </c>
      <c r="N9" s="10"/>
      <c r="O9" s="10"/>
      <c r="P9" s="10" t="s">
        <v>33</v>
      </c>
      <c r="Q9" s="10" t="s">
        <v>39</v>
      </c>
      <c r="R9" s="10" t="s">
        <v>35</v>
      </c>
      <c r="S9" s="10" t="s">
        <v>52</v>
      </c>
      <c r="T9" s="10">
        <v>31.98</v>
      </c>
      <c r="U9" s="10" t="s">
        <v>37</v>
      </c>
      <c r="V9" s="10">
        <v>98864</v>
      </c>
      <c r="W9" s="10" t="s">
        <v>34</v>
      </c>
      <c r="X9" s="10" t="str">
        <f t="shared" si="4"/>
        <v>编织;50*80cm【升级吸水款】热销推荐【硅藻泥】</v>
      </c>
      <c r="Y9" s="10" t="s">
        <v>34</v>
      </c>
      <c r="Z9" s="10" t="s">
        <v>34</v>
      </c>
      <c r="AA9" s="10" t="str">
        <f t="shared" si="5"/>
        <v>编织;50*80cm【升级吸水款】热销推荐【硅藻泥】</v>
      </c>
      <c r="AB9" s="10" t="str">
        <f t="shared" si="6"/>
        <v>3710730965690370</v>
      </c>
      <c r="AC9" s="10" t="s">
        <v>34</v>
      </c>
    </row>
    <row r="10" ht="15" spans="1:29">
      <c r="A10" s="10">
        <v>9</v>
      </c>
      <c r="B10" s="10" t="s">
        <v>29</v>
      </c>
      <c r="C10" s="10" t="s">
        <v>30</v>
      </c>
      <c r="D10" s="10" t="s">
        <v>31</v>
      </c>
      <c r="E10" s="10" t="s">
        <v>53</v>
      </c>
      <c r="F10" s="11" t="str" cm="1">
        <f t="array" ref="F10">_xlfn.IFS(ISNUMBER(FIND("硅藻",D10&amp;E10)),"硅藻泥",ISNUMBER(FIND("菠萝圈",D10&amp;E10)),"菠萝圈",AND(ISNUMBER(FIND("水晶绒",D10&amp;E10)),ISNUMBER(FIND("包边",D10&amp;E10))),"包边水晶绒",ISNUMBER(FIND("水晶绒",D10&amp;E10)),"水晶绒",ISNUMBER(FIND("天鹅绒",D10&amp;E10)),"天鹅绒",ISNUMBER(FIND("丝圈",D10&amp;E10)),"丝圈",ISNUMBER(FIND("仿羊绒",D10&amp;E10)),"仿羊绒",ISNUMBER(FIND("亚麻",D10&amp;E10)),"亚麻",ISNUMBER(FIND("皮革",D10&amp;E10)),"皮革",ISNUMBER(FIND("金钻绒",D10&amp;E10)),"金钻绒")</f>
        <v>硅藻泥</v>
      </c>
      <c r="G10" s="10" t="str">
        <f t="shared" si="0"/>
        <v>硅藻泥</v>
      </c>
      <c r="H10" s="11" t="str" cm="1">
        <f t="array" ref="H10">_wpsfn.REGEXP(_wpsfn.REGEXP(E10,"([至乘xX✖_\-])",2,"*"),"\d+\*\d+(?:[\*\+]\d+)*")</f>
        <v>60*90</v>
      </c>
      <c r="I10" s="10">
        <f t="shared" si="1"/>
        <v>0.54</v>
      </c>
      <c r="J10" s="10">
        <v>60</v>
      </c>
      <c r="K10" s="10">
        <v>90</v>
      </c>
      <c r="L10" s="10">
        <f t="shared" si="2"/>
        <v>0.486</v>
      </c>
      <c r="M10" s="10">
        <f t="shared" si="3"/>
        <v>5.292</v>
      </c>
      <c r="N10" s="10"/>
      <c r="O10" s="10"/>
      <c r="P10" s="10" t="s">
        <v>33</v>
      </c>
      <c r="Q10" s="10" t="s">
        <v>39</v>
      </c>
      <c r="R10" s="10" t="s">
        <v>35</v>
      </c>
      <c r="S10" s="10" t="s">
        <v>54</v>
      </c>
      <c r="T10" s="10">
        <v>47.98</v>
      </c>
      <c r="U10" s="10" t="s">
        <v>37</v>
      </c>
      <c r="V10" s="10">
        <v>98871</v>
      </c>
      <c r="W10" s="10" t="s">
        <v>34</v>
      </c>
      <c r="X10" s="10" t="str">
        <f t="shared" si="4"/>
        <v>编织;60*90cm【升级吸水款】大尺寸吸水【硅藻泥】</v>
      </c>
      <c r="Y10" s="10" t="s">
        <v>34</v>
      </c>
      <c r="Z10" s="10" t="s">
        <v>34</v>
      </c>
      <c r="AA10" s="10" t="str">
        <f t="shared" si="5"/>
        <v>编织;60*90cm【升级吸水款】大尺寸吸水【硅藻泥】</v>
      </c>
      <c r="AB10" s="10" t="str">
        <f t="shared" si="6"/>
        <v>3710730965690626</v>
      </c>
      <c r="AC10" s="10" t="s">
        <v>34</v>
      </c>
    </row>
    <row r="11" ht="15" spans="1:29">
      <c r="A11" s="10">
        <v>10</v>
      </c>
      <c r="B11" s="10" t="s">
        <v>29</v>
      </c>
      <c r="C11" s="10" t="s">
        <v>30</v>
      </c>
      <c r="D11" s="10" t="s">
        <v>31</v>
      </c>
      <c r="E11" s="10" t="s">
        <v>55</v>
      </c>
      <c r="F11" s="11" t="str" cm="1">
        <f t="array" ref="F11">_xlfn.IFS(ISNUMBER(FIND("硅藻",D11&amp;E11)),"硅藻泥",ISNUMBER(FIND("菠萝圈",D11&amp;E11)),"菠萝圈",AND(ISNUMBER(FIND("水晶绒",D11&amp;E11)),ISNUMBER(FIND("包边",D11&amp;E11))),"包边水晶绒",ISNUMBER(FIND("水晶绒",D11&amp;E11)),"水晶绒",ISNUMBER(FIND("天鹅绒",D11&amp;E11)),"天鹅绒",ISNUMBER(FIND("丝圈",D11&amp;E11)),"丝圈",ISNUMBER(FIND("仿羊绒",D11&amp;E11)),"仿羊绒",ISNUMBER(FIND("亚麻",D11&amp;E11)),"亚麻",ISNUMBER(FIND("皮革",D11&amp;E11)),"皮革",ISNUMBER(FIND("金钻绒",D11&amp;E11)),"金钻绒")</f>
        <v>硅藻泥</v>
      </c>
      <c r="G11" s="10" t="str">
        <f t="shared" si="0"/>
        <v>硅藻泥</v>
      </c>
      <c r="H11" s="11" t="str" cm="1">
        <f t="array" ref="H11">_wpsfn.REGEXP(_wpsfn.REGEXP(E11,"([至乘xX✖_\-])",2,"*"),"\d+\*\d+(?:[\*\+]\d+)*")</f>
        <v>40*60</v>
      </c>
      <c r="I11" s="10">
        <f t="shared" si="1"/>
        <v>0.24</v>
      </c>
      <c r="J11" s="10">
        <v>40</v>
      </c>
      <c r="K11" s="10">
        <v>60</v>
      </c>
      <c r="L11" s="10">
        <f t="shared" si="2"/>
        <v>0.216</v>
      </c>
      <c r="M11" s="10">
        <f t="shared" si="3"/>
        <v>2.352</v>
      </c>
      <c r="N11" s="10"/>
      <c r="O11" s="10"/>
      <c r="P11" s="10" t="s">
        <v>33</v>
      </c>
      <c r="Q11" s="10" t="s">
        <v>34</v>
      </c>
      <c r="R11" s="10" t="s">
        <v>35</v>
      </c>
      <c r="S11" s="10" t="s">
        <v>56</v>
      </c>
      <c r="T11" s="10">
        <v>19.98</v>
      </c>
      <c r="U11" s="10" t="s">
        <v>37</v>
      </c>
      <c r="V11" s="10">
        <v>9997</v>
      </c>
      <c r="W11" s="10" t="s">
        <v>34</v>
      </c>
      <c r="X11" s="10" t="str">
        <f t="shared" si="4"/>
        <v>鲜花;40*60cm【升级吸水款】基础款【硅藻泥】</v>
      </c>
      <c r="Y11" s="10" t="s">
        <v>34</v>
      </c>
      <c r="Z11" s="10" t="s">
        <v>34</v>
      </c>
      <c r="AA11" s="10" t="str">
        <f t="shared" si="5"/>
        <v>鲜花;40*60cm【升级吸水款】基础款【硅藻泥】</v>
      </c>
      <c r="AB11" s="10" t="str">
        <f t="shared" si="6"/>
        <v>3710730965690882</v>
      </c>
      <c r="AC11" s="10" t="s">
        <v>34</v>
      </c>
    </row>
    <row r="12" ht="15" spans="1:29">
      <c r="A12" s="10">
        <v>11</v>
      </c>
      <c r="B12" s="10" t="s">
        <v>29</v>
      </c>
      <c r="C12" s="10" t="s">
        <v>30</v>
      </c>
      <c r="D12" s="10" t="s">
        <v>31</v>
      </c>
      <c r="E12" s="10" t="s">
        <v>57</v>
      </c>
      <c r="F12" s="11" t="str" cm="1">
        <f t="array" ref="F12">_xlfn.IFS(ISNUMBER(FIND("硅藻",D12&amp;E12)),"硅藻泥",ISNUMBER(FIND("菠萝圈",D12&amp;E12)),"菠萝圈",AND(ISNUMBER(FIND("水晶绒",D12&amp;E12)),ISNUMBER(FIND("包边",D12&amp;E12))),"包边水晶绒",ISNUMBER(FIND("水晶绒",D12&amp;E12)),"水晶绒",ISNUMBER(FIND("天鹅绒",D12&amp;E12)),"天鹅绒",ISNUMBER(FIND("丝圈",D12&amp;E12)),"丝圈",ISNUMBER(FIND("仿羊绒",D12&amp;E12)),"仿羊绒",ISNUMBER(FIND("亚麻",D12&amp;E12)),"亚麻",ISNUMBER(FIND("皮革",D12&amp;E12)),"皮革",ISNUMBER(FIND("金钻绒",D12&amp;E12)),"金钻绒")</f>
        <v>硅藻泥</v>
      </c>
      <c r="G12" s="10" t="str">
        <f t="shared" si="0"/>
        <v>硅藻泥</v>
      </c>
      <c r="H12" s="11" t="str" cm="1">
        <f t="array" ref="H12">_wpsfn.REGEXP(_wpsfn.REGEXP(E12,"([至乘xX✖_\-])",2,"*"),"\d+\*\d+(?:[\*\+]\d+)*")</f>
        <v>50*80</v>
      </c>
      <c r="I12" s="10">
        <f t="shared" si="1"/>
        <v>0.4</v>
      </c>
      <c r="J12" s="10">
        <v>50</v>
      </c>
      <c r="K12" s="10">
        <v>80</v>
      </c>
      <c r="L12" s="10">
        <f t="shared" si="2"/>
        <v>0.36</v>
      </c>
      <c r="M12" s="10">
        <f t="shared" si="3"/>
        <v>3.92</v>
      </c>
      <c r="N12" s="10"/>
      <c r="O12" s="10"/>
      <c r="P12" s="10" t="s">
        <v>33</v>
      </c>
      <c r="Q12" s="10" t="s">
        <v>39</v>
      </c>
      <c r="R12" s="10" t="s">
        <v>35</v>
      </c>
      <c r="S12" s="10" t="s">
        <v>58</v>
      </c>
      <c r="T12" s="10">
        <v>31.98</v>
      </c>
      <c r="U12" s="10" t="s">
        <v>37</v>
      </c>
      <c r="V12" s="10">
        <v>98857</v>
      </c>
      <c r="W12" s="10" t="s">
        <v>34</v>
      </c>
      <c r="X12" s="10" t="str">
        <f t="shared" si="4"/>
        <v>鲜花;50*80cm【升级吸水款】热销推荐【硅藻泥】</v>
      </c>
      <c r="Y12" s="10" t="s">
        <v>34</v>
      </c>
      <c r="Z12" s="10" t="s">
        <v>34</v>
      </c>
      <c r="AA12" s="10" t="str">
        <f t="shared" si="5"/>
        <v>鲜花;50*80cm【升级吸水款】热销推荐【硅藻泥】</v>
      </c>
      <c r="AB12" s="10" t="str">
        <f t="shared" si="6"/>
        <v>3710730965691138</v>
      </c>
      <c r="AC12" s="10" t="s">
        <v>34</v>
      </c>
    </row>
    <row r="13" ht="15" spans="1:29">
      <c r="A13" s="10">
        <v>12</v>
      </c>
      <c r="B13" s="10" t="s">
        <v>29</v>
      </c>
      <c r="C13" s="10" t="s">
        <v>30</v>
      </c>
      <c r="D13" s="10" t="s">
        <v>31</v>
      </c>
      <c r="E13" s="10" t="s">
        <v>59</v>
      </c>
      <c r="F13" s="11" t="str" cm="1">
        <f t="array" ref="F13">_xlfn.IFS(ISNUMBER(FIND("硅藻",D13&amp;E13)),"硅藻泥",ISNUMBER(FIND("菠萝圈",D13&amp;E13)),"菠萝圈",AND(ISNUMBER(FIND("水晶绒",D13&amp;E13)),ISNUMBER(FIND("包边",D13&amp;E13))),"包边水晶绒",ISNUMBER(FIND("水晶绒",D13&amp;E13)),"水晶绒",ISNUMBER(FIND("天鹅绒",D13&amp;E13)),"天鹅绒",ISNUMBER(FIND("丝圈",D13&amp;E13)),"丝圈",ISNUMBER(FIND("仿羊绒",D13&amp;E13)),"仿羊绒",ISNUMBER(FIND("亚麻",D13&amp;E13)),"亚麻",ISNUMBER(FIND("皮革",D13&amp;E13)),"皮革",ISNUMBER(FIND("金钻绒",D13&amp;E13)),"金钻绒")</f>
        <v>硅藻泥</v>
      </c>
      <c r="G13" s="10" t="str">
        <f t="shared" si="0"/>
        <v>硅藻泥</v>
      </c>
      <c r="H13" s="11" t="str" cm="1">
        <f t="array" ref="H13">_wpsfn.REGEXP(_wpsfn.REGEXP(E13,"([至乘xX✖_\-])",2,"*"),"\d+\*\d+(?:[\*\+]\d+)*")</f>
        <v>60*90</v>
      </c>
      <c r="I13" s="10">
        <f t="shared" si="1"/>
        <v>0.54</v>
      </c>
      <c r="J13" s="10">
        <v>60</v>
      </c>
      <c r="K13" s="10">
        <v>90</v>
      </c>
      <c r="L13" s="10">
        <f t="shared" si="2"/>
        <v>0.486</v>
      </c>
      <c r="M13" s="10">
        <f t="shared" si="3"/>
        <v>5.292</v>
      </c>
      <c r="N13" s="10"/>
      <c r="O13" s="10"/>
      <c r="P13" s="10" t="s">
        <v>33</v>
      </c>
      <c r="Q13" s="10" t="s">
        <v>39</v>
      </c>
      <c r="R13" s="10" t="s">
        <v>35</v>
      </c>
      <c r="S13" s="10" t="s">
        <v>60</v>
      </c>
      <c r="T13" s="10">
        <v>47.98</v>
      </c>
      <c r="U13" s="10" t="s">
        <v>37</v>
      </c>
      <c r="V13" s="10">
        <v>98875</v>
      </c>
      <c r="W13" s="10" t="s">
        <v>34</v>
      </c>
      <c r="X13" s="10" t="str">
        <f t="shared" si="4"/>
        <v>鲜花;60*90cm【升级吸水款】大尺寸吸水【硅藻泥】</v>
      </c>
      <c r="Y13" s="10" t="s">
        <v>34</v>
      </c>
      <c r="Z13" s="10" t="s">
        <v>34</v>
      </c>
      <c r="AA13" s="10" t="str">
        <f t="shared" si="5"/>
        <v>鲜花;60*90cm【升级吸水款】大尺寸吸水【硅藻泥】</v>
      </c>
      <c r="AB13" s="10" t="str">
        <f t="shared" si="6"/>
        <v>3710730965691394</v>
      </c>
      <c r="AC13" s="10" t="s">
        <v>34</v>
      </c>
    </row>
    <row r="14" ht="15" spans="1:29">
      <c r="A14" s="10">
        <v>13</v>
      </c>
      <c r="B14" s="10" t="s">
        <v>29</v>
      </c>
      <c r="C14" s="10" t="s">
        <v>30</v>
      </c>
      <c r="D14" s="10" t="s">
        <v>31</v>
      </c>
      <c r="E14" s="10" t="s">
        <v>61</v>
      </c>
      <c r="F14" s="11" t="str" cm="1">
        <f t="array" ref="F14">_xlfn.IFS(ISNUMBER(FIND("硅藻",D14&amp;E14)),"硅藻泥",ISNUMBER(FIND("菠萝圈",D14&amp;E14)),"菠萝圈",AND(ISNUMBER(FIND("水晶绒",D14&amp;E14)),ISNUMBER(FIND("包边",D14&amp;E14))),"包边水晶绒",ISNUMBER(FIND("水晶绒",D14&amp;E14)),"水晶绒",ISNUMBER(FIND("天鹅绒",D14&amp;E14)),"天鹅绒",ISNUMBER(FIND("丝圈",D14&amp;E14)),"丝圈",ISNUMBER(FIND("仿羊绒",D14&amp;E14)),"仿羊绒",ISNUMBER(FIND("亚麻",D14&amp;E14)),"亚麻",ISNUMBER(FIND("皮革",D14&amp;E14)),"皮革",ISNUMBER(FIND("金钻绒",D14&amp;E14)),"金钻绒")</f>
        <v>硅藻泥</v>
      </c>
      <c r="G14" s="10" t="str">
        <f t="shared" si="0"/>
        <v>硅藻泥</v>
      </c>
      <c r="H14" s="11" t="str" cm="1">
        <f t="array" ref="H14">_wpsfn.REGEXP(_wpsfn.REGEXP(E14,"([至乘xX✖_\-])",2,"*"),"\d+\*\d+(?:[\*\+]\d+)*")</f>
        <v>45*70</v>
      </c>
      <c r="I14" s="10">
        <f t="shared" si="1"/>
        <v>0.315</v>
      </c>
      <c r="J14" s="10">
        <v>45</v>
      </c>
      <c r="K14" s="10">
        <v>70</v>
      </c>
      <c r="L14" s="10">
        <f t="shared" si="2"/>
        <v>0.2835</v>
      </c>
      <c r="M14" s="10">
        <f t="shared" si="3"/>
        <v>3.087</v>
      </c>
      <c r="N14" s="10"/>
      <c r="O14" s="10"/>
      <c r="P14" s="10" t="s">
        <v>33</v>
      </c>
      <c r="Q14" s="10" t="s">
        <v>34</v>
      </c>
      <c r="R14" s="10" t="s">
        <v>35</v>
      </c>
      <c r="S14" s="10" t="s">
        <v>62</v>
      </c>
      <c r="T14" s="10">
        <v>25.98</v>
      </c>
      <c r="U14" s="10" t="s">
        <v>37</v>
      </c>
      <c r="V14" s="10">
        <v>9999</v>
      </c>
      <c r="W14" s="10" t="s">
        <v>34</v>
      </c>
      <c r="X14" s="10" t="str">
        <f t="shared" si="4"/>
        <v>碎花;45*70cm【升级吸水款】性价比【硅藻泥】</v>
      </c>
      <c r="Y14" s="10" t="s">
        <v>34</v>
      </c>
      <c r="Z14" s="10" t="s">
        <v>34</v>
      </c>
      <c r="AA14" s="10" t="str">
        <f t="shared" si="5"/>
        <v>碎花;45*70cm【升级吸水款】性价比【硅藻泥】</v>
      </c>
      <c r="AB14" s="10" t="str">
        <f t="shared" si="6"/>
        <v>3710731174752258</v>
      </c>
      <c r="AC14" s="10" t="s">
        <v>34</v>
      </c>
    </row>
    <row r="15" ht="15" spans="1:29">
      <c r="A15" s="10">
        <v>14</v>
      </c>
      <c r="B15" s="10" t="s">
        <v>29</v>
      </c>
      <c r="C15" s="10" t="s">
        <v>30</v>
      </c>
      <c r="D15" s="10" t="s">
        <v>31</v>
      </c>
      <c r="E15" s="10" t="s">
        <v>63</v>
      </c>
      <c r="F15" s="11" t="str" cm="1">
        <f t="array" ref="F15">_xlfn.IFS(ISNUMBER(FIND("硅藻",D15&amp;E15)),"硅藻泥",ISNUMBER(FIND("菠萝圈",D15&amp;E15)),"菠萝圈",AND(ISNUMBER(FIND("水晶绒",D15&amp;E15)),ISNUMBER(FIND("包边",D15&amp;E15))),"包边水晶绒",ISNUMBER(FIND("水晶绒",D15&amp;E15)),"水晶绒",ISNUMBER(FIND("天鹅绒",D15&amp;E15)),"天鹅绒",ISNUMBER(FIND("丝圈",D15&amp;E15)),"丝圈",ISNUMBER(FIND("仿羊绒",D15&amp;E15)),"仿羊绒",ISNUMBER(FIND("亚麻",D15&amp;E15)),"亚麻",ISNUMBER(FIND("皮革",D15&amp;E15)),"皮革",ISNUMBER(FIND("金钻绒",D15&amp;E15)),"金钻绒")</f>
        <v>硅藻泥</v>
      </c>
      <c r="G15" s="10" t="str">
        <f t="shared" si="0"/>
        <v>硅藻泥</v>
      </c>
      <c r="H15" s="11" t="str" cm="1">
        <f t="array" ref="H15">_wpsfn.REGEXP(_wpsfn.REGEXP(E15,"([至乘xX✖_\-])",2,"*"),"\d+\*\d+(?:[\*\+]\d+)*")</f>
        <v>45*70</v>
      </c>
      <c r="I15" s="10">
        <f t="shared" si="1"/>
        <v>0.315</v>
      </c>
      <c r="J15" s="10">
        <v>45</v>
      </c>
      <c r="K15" s="10">
        <v>70</v>
      </c>
      <c r="L15" s="10">
        <f t="shared" si="2"/>
        <v>0.2835</v>
      </c>
      <c r="M15" s="10">
        <f t="shared" si="3"/>
        <v>3.087</v>
      </c>
      <c r="N15" s="10"/>
      <c r="O15" s="10"/>
      <c r="P15" s="10" t="s">
        <v>33</v>
      </c>
      <c r="Q15" s="10" t="s">
        <v>34</v>
      </c>
      <c r="R15" s="10" t="s">
        <v>35</v>
      </c>
      <c r="S15" s="10" t="s">
        <v>64</v>
      </c>
      <c r="T15" s="10">
        <v>25.98</v>
      </c>
      <c r="U15" s="10" t="s">
        <v>37</v>
      </c>
      <c r="V15" s="10">
        <v>9999</v>
      </c>
      <c r="W15" s="10" t="s">
        <v>34</v>
      </c>
      <c r="X15" s="10" t="str">
        <f t="shared" si="4"/>
        <v>繁花;45*70cm【升级吸水款】性价比【硅藻泥】</v>
      </c>
      <c r="Y15" s="10" t="s">
        <v>34</v>
      </c>
      <c r="Z15" s="10" t="s">
        <v>34</v>
      </c>
      <c r="AA15" s="10" t="str">
        <f t="shared" si="5"/>
        <v>繁花;45*70cm【升级吸水款】性价比【硅藻泥】</v>
      </c>
      <c r="AB15" s="10" t="str">
        <f t="shared" si="6"/>
        <v>3710731174752514</v>
      </c>
      <c r="AC15" s="10" t="s">
        <v>34</v>
      </c>
    </row>
    <row r="16" ht="15" spans="1:29">
      <c r="A16" s="10">
        <v>15</v>
      </c>
      <c r="B16" s="10" t="s">
        <v>29</v>
      </c>
      <c r="C16" s="10" t="s">
        <v>30</v>
      </c>
      <c r="D16" s="10" t="s">
        <v>31</v>
      </c>
      <c r="E16" s="10" t="s">
        <v>65</v>
      </c>
      <c r="F16" s="11" t="str" cm="1">
        <f t="array" ref="F16">_xlfn.IFS(ISNUMBER(FIND("硅藻",D16&amp;E16)),"硅藻泥",ISNUMBER(FIND("菠萝圈",D16&amp;E16)),"菠萝圈",AND(ISNUMBER(FIND("水晶绒",D16&amp;E16)),ISNUMBER(FIND("包边",D16&amp;E16))),"包边水晶绒",ISNUMBER(FIND("水晶绒",D16&amp;E16)),"水晶绒",ISNUMBER(FIND("天鹅绒",D16&amp;E16)),"天鹅绒",ISNUMBER(FIND("丝圈",D16&amp;E16)),"丝圈",ISNUMBER(FIND("仿羊绒",D16&amp;E16)),"仿羊绒",ISNUMBER(FIND("亚麻",D16&amp;E16)),"亚麻",ISNUMBER(FIND("皮革",D16&amp;E16)),"皮革",ISNUMBER(FIND("金钻绒",D16&amp;E16)),"金钻绒")</f>
        <v>硅藻泥</v>
      </c>
      <c r="G16" s="10" t="str">
        <f t="shared" si="0"/>
        <v>硅藻泥</v>
      </c>
      <c r="H16" s="11" t="str" cm="1">
        <f t="array" ref="H16">_wpsfn.REGEXP(_wpsfn.REGEXP(E16,"([至乘xX✖_\-])",2,"*"),"\d+\*\d+(?:[\*\+]\d+)*")</f>
        <v>45*70</v>
      </c>
      <c r="I16" s="10">
        <f t="shared" si="1"/>
        <v>0.315</v>
      </c>
      <c r="J16" s="10">
        <v>45</v>
      </c>
      <c r="K16" s="10">
        <v>70</v>
      </c>
      <c r="L16" s="10">
        <f t="shared" si="2"/>
        <v>0.2835</v>
      </c>
      <c r="M16" s="10">
        <f t="shared" si="3"/>
        <v>3.087</v>
      </c>
      <c r="N16" s="10"/>
      <c r="O16" s="10"/>
      <c r="P16" s="10" t="s">
        <v>33</v>
      </c>
      <c r="Q16" s="10" t="s">
        <v>34</v>
      </c>
      <c r="R16" s="10" t="s">
        <v>35</v>
      </c>
      <c r="S16" s="10" t="s">
        <v>66</v>
      </c>
      <c r="T16" s="10">
        <v>25.98</v>
      </c>
      <c r="U16" s="10" t="s">
        <v>37</v>
      </c>
      <c r="V16" s="10">
        <v>9999</v>
      </c>
      <c r="W16" s="10" t="s">
        <v>34</v>
      </c>
      <c r="X16" s="10" t="str">
        <f t="shared" si="4"/>
        <v>编织;45*70cm【升级吸水款】性价比【硅藻泥】</v>
      </c>
      <c r="Y16" s="10" t="s">
        <v>34</v>
      </c>
      <c r="Z16" s="10" t="s">
        <v>34</v>
      </c>
      <c r="AA16" s="10" t="str">
        <f t="shared" si="5"/>
        <v>编织;45*70cm【升级吸水款】性价比【硅藻泥】</v>
      </c>
      <c r="AB16" s="10" t="str">
        <f t="shared" si="6"/>
        <v>3710731174752770</v>
      </c>
      <c r="AC16" s="10" t="s">
        <v>34</v>
      </c>
    </row>
    <row r="17" ht="15" spans="1:29">
      <c r="A17" s="10">
        <v>16</v>
      </c>
      <c r="B17" s="10" t="s">
        <v>29</v>
      </c>
      <c r="C17" s="10" t="s">
        <v>30</v>
      </c>
      <c r="D17" s="10" t="s">
        <v>31</v>
      </c>
      <c r="E17" s="10" t="s">
        <v>67</v>
      </c>
      <c r="F17" s="11" t="str" cm="1">
        <f t="array" ref="F17">_xlfn.IFS(ISNUMBER(FIND("硅藻",D17&amp;E17)),"硅藻泥",ISNUMBER(FIND("菠萝圈",D17&amp;E17)),"菠萝圈",AND(ISNUMBER(FIND("水晶绒",D17&amp;E17)),ISNUMBER(FIND("包边",D17&amp;E17))),"包边水晶绒",ISNUMBER(FIND("水晶绒",D17&amp;E17)),"水晶绒",ISNUMBER(FIND("天鹅绒",D17&amp;E17)),"天鹅绒",ISNUMBER(FIND("丝圈",D17&amp;E17)),"丝圈",ISNUMBER(FIND("仿羊绒",D17&amp;E17)),"仿羊绒",ISNUMBER(FIND("亚麻",D17&amp;E17)),"亚麻",ISNUMBER(FIND("皮革",D17&amp;E17)),"皮革",ISNUMBER(FIND("金钻绒",D17&amp;E17)),"金钻绒")</f>
        <v>硅藻泥</v>
      </c>
      <c r="G17" s="10" t="str">
        <f t="shared" si="0"/>
        <v>硅藻泥</v>
      </c>
      <c r="H17" s="11" t="str" cm="1">
        <f t="array" ref="H17">_wpsfn.REGEXP(_wpsfn.REGEXP(E17,"([至乘xX✖_\-])",2,"*"),"\d+\*\d+(?:[\*\+]\d+)*")</f>
        <v>45*70</v>
      </c>
      <c r="I17" s="10">
        <f t="shared" si="1"/>
        <v>0.315</v>
      </c>
      <c r="J17" s="10">
        <v>45</v>
      </c>
      <c r="K17" s="10">
        <v>70</v>
      </c>
      <c r="L17" s="10">
        <f t="shared" si="2"/>
        <v>0.2835</v>
      </c>
      <c r="M17" s="10">
        <f t="shared" si="3"/>
        <v>3.087</v>
      </c>
      <c r="N17" s="10"/>
      <c r="O17" s="10"/>
      <c r="P17" s="10" t="s">
        <v>33</v>
      </c>
      <c r="Q17" s="10" t="s">
        <v>34</v>
      </c>
      <c r="R17" s="10" t="s">
        <v>35</v>
      </c>
      <c r="S17" s="10" t="s">
        <v>68</v>
      </c>
      <c r="T17" s="10">
        <v>25.98</v>
      </c>
      <c r="U17" s="10" t="s">
        <v>37</v>
      </c>
      <c r="V17" s="10">
        <v>9999</v>
      </c>
      <c r="W17" s="10" t="s">
        <v>34</v>
      </c>
      <c r="X17" s="10" t="str">
        <f t="shared" si="4"/>
        <v>鲜花;45*70cm【升级吸水款】性价比【硅藻泥】</v>
      </c>
      <c r="Y17" s="10" t="s">
        <v>34</v>
      </c>
      <c r="Z17" s="10" t="s">
        <v>34</v>
      </c>
      <c r="AA17" s="10" t="str">
        <f t="shared" si="5"/>
        <v>鲜花;45*70cm【升级吸水款】性价比【硅藻泥】</v>
      </c>
      <c r="AB17" s="10" t="str">
        <f t="shared" si="6"/>
        <v>3710731174753026</v>
      </c>
      <c r="AC17" s="10" t="s">
        <v>34</v>
      </c>
    </row>
    <row r="18" ht="15" spans="1:29">
      <c r="A18" s="10">
        <v>17</v>
      </c>
      <c r="B18" s="10" t="s">
        <v>29</v>
      </c>
      <c r="C18" s="10" t="s">
        <v>69</v>
      </c>
      <c r="D18" s="10" t="s">
        <v>70</v>
      </c>
      <c r="E18" s="10" t="s">
        <v>71</v>
      </c>
      <c r="F18" s="11" t="str" cm="1">
        <f t="array" ref="F18">_xlfn.IFS(ISNUMBER(FIND("硅藻",D18&amp;E18)),"硅藻泥",ISNUMBER(FIND("菠萝圈",D18&amp;E18)),"菠萝圈",AND(ISNUMBER(FIND("水晶绒",D18&amp;E18)),ISNUMBER(FIND("包边",D18&amp;E18))),"包边水晶绒",ISNUMBER(FIND("水晶绒",D18&amp;E18)),"水晶绒",ISNUMBER(FIND("天鹅绒",D18&amp;E18)),"天鹅绒",ISNUMBER(FIND("丝圈",D18&amp;E18)),"丝圈",ISNUMBER(FIND("仿羊绒",D18&amp;E18)),"仿羊绒",ISNUMBER(FIND("亚麻",D18&amp;E18)),"亚麻",ISNUMBER(FIND("皮革",D18&amp;E18)),"皮革",ISNUMBER(FIND("金钻绒",D18&amp;E18)),"金钻绒")</f>
        <v>亚麻</v>
      </c>
      <c r="G18" s="10" t="str">
        <f t="shared" si="0"/>
        <v>亚麻</v>
      </c>
      <c r="H18" s="11" t="str" cm="1">
        <f t="array" ref="H18">_wpsfn.REGEXP(_wpsfn.REGEXP(E18,"([至乘xX✖_\-])",2,"*"),"\d+\*\d+(?:[\*\+]\d+)*")</f>
        <v>40*60</v>
      </c>
      <c r="I18" s="10">
        <f t="shared" si="1"/>
        <v>0.24</v>
      </c>
      <c r="J18" s="10">
        <v>40</v>
      </c>
      <c r="K18" s="10">
        <v>60</v>
      </c>
      <c r="L18" s="10">
        <f>1.26*I18</f>
        <v>0.3024</v>
      </c>
      <c r="M18" s="10">
        <f>16.2*I18</f>
        <v>3.888</v>
      </c>
      <c r="N18" s="10"/>
      <c r="O18" s="10"/>
      <c r="P18" s="10" t="s">
        <v>72</v>
      </c>
      <c r="Q18" s="10" t="s">
        <v>73</v>
      </c>
      <c r="R18" s="10" t="s">
        <v>74</v>
      </c>
      <c r="S18" s="10" t="s">
        <v>75</v>
      </c>
      <c r="T18" s="10">
        <v>21.8</v>
      </c>
      <c r="U18" s="10" t="s">
        <v>37</v>
      </c>
      <c r="V18" s="10">
        <v>9999</v>
      </c>
      <c r="W18" s="10" t="s">
        <v>34</v>
      </c>
      <c r="X18" s="10" t="str">
        <f t="shared" si="4"/>
        <v>萨丽麻橡胶底马蹄形麻纹回框;40*60cm【吸水;;厂家直销】【亚麻】</v>
      </c>
      <c r="Y18" s="10" t="s">
        <v>34</v>
      </c>
      <c r="Z18" s="10" t="s">
        <v>34</v>
      </c>
      <c r="AA18" s="10" t="str">
        <f t="shared" si="5"/>
        <v>萨丽麻橡胶底马蹄形麻纹回框;40*60cm【吸水;;厂家直销】【亚麻】</v>
      </c>
      <c r="AB18" s="10" t="str">
        <f t="shared" si="6"/>
        <v>3710544359745282</v>
      </c>
      <c r="AC18" s="10" t="s">
        <v>34</v>
      </c>
    </row>
    <row r="19" ht="15" spans="1:29">
      <c r="A19" s="10">
        <v>18</v>
      </c>
      <c r="B19" s="10" t="s">
        <v>29</v>
      </c>
      <c r="C19" s="10" t="s">
        <v>69</v>
      </c>
      <c r="D19" s="10" t="s">
        <v>70</v>
      </c>
      <c r="E19" s="10" t="s">
        <v>76</v>
      </c>
      <c r="F19" s="11" t="str" cm="1">
        <f t="array" ref="F19">_xlfn.IFS(ISNUMBER(FIND("硅藻",D19&amp;E19)),"硅藻泥",ISNUMBER(FIND("菠萝圈",D19&amp;E19)),"菠萝圈",AND(ISNUMBER(FIND("水晶绒",D19&amp;E19)),ISNUMBER(FIND("包边",D19&amp;E19))),"包边水晶绒",ISNUMBER(FIND("水晶绒",D19&amp;E19)),"水晶绒",ISNUMBER(FIND("天鹅绒",D19&amp;E19)),"天鹅绒",ISNUMBER(FIND("丝圈",D19&amp;E19)),"丝圈",ISNUMBER(FIND("仿羊绒",D19&amp;E19)),"仿羊绒",ISNUMBER(FIND("亚麻",D19&amp;E19)),"亚麻",ISNUMBER(FIND("皮革",D19&amp;E19)),"皮革",ISNUMBER(FIND("金钻绒",D19&amp;E19)),"金钻绒")</f>
        <v>亚麻</v>
      </c>
      <c r="G19" s="10" t="str">
        <f t="shared" si="0"/>
        <v>亚麻</v>
      </c>
      <c r="H19" s="11" t="str" cm="1">
        <f t="array" ref="H19">_wpsfn.REGEXP(_wpsfn.REGEXP(E19,"([至乘xX✖_\-])",2,"*"),"\d+\*\d+(?:[\*\+]\d+)*")</f>
        <v>50*80</v>
      </c>
      <c r="I19" s="10">
        <f t="shared" si="1"/>
        <v>0.4</v>
      </c>
      <c r="J19" s="10">
        <v>50</v>
      </c>
      <c r="K19" s="10">
        <v>80</v>
      </c>
      <c r="L19" s="10">
        <f t="shared" ref="L19:L50" si="7">1.26*I19</f>
        <v>0.504</v>
      </c>
      <c r="M19" s="10">
        <f t="shared" ref="M19:M50" si="8">16.2*I19</f>
        <v>6.48</v>
      </c>
      <c r="N19" s="10"/>
      <c r="O19" s="10"/>
      <c r="P19" s="10" t="s">
        <v>72</v>
      </c>
      <c r="Q19" s="10" t="s">
        <v>73</v>
      </c>
      <c r="R19" s="10" t="s">
        <v>74</v>
      </c>
      <c r="S19" s="10" t="s">
        <v>77</v>
      </c>
      <c r="T19" s="10">
        <v>35.8</v>
      </c>
      <c r="U19" s="10" t="s">
        <v>37</v>
      </c>
      <c r="V19" s="10">
        <v>9999</v>
      </c>
      <c r="W19" s="10" t="s">
        <v>34</v>
      </c>
      <c r="X19" s="10" t="str">
        <f t="shared" si="4"/>
        <v>萨丽麻橡胶底马蹄形麻纹回框;50*80cm【Q弹舒适;;品质选择】【亚麻】</v>
      </c>
      <c r="Y19" s="10" t="s">
        <v>34</v>
      </c>
      <c r="Z19" s="10" t="s">
        <v>34</v>
      </c>
      <c r="AA19" s="10" t="str">
        <f t="shared" si="5"/>
        <v>萨丽麻橡胶底马蹄形麻纹回框;50*80cm【Q弹舒适;;品质选择】【亚麻】</v>
      </c>
      <c r="AB19" s="10" t="str">
        <f t="shared" si="6"/>
        <v>3710544359745538</v>
      </c>
      <c r="AC19" s="10" t="s">
        <v>34</v>
      </c>
    </row>
    <row r="20" ht="15" spans="1:29">
      <c r="A20" s="10">
        <v>19</v>
      </c>
      <c r="B20" s="10" t="s">
        <v>29</v>
      </c>
      <c r="C20" s="10" t="s">
        <v>69</v>
      </c>
      <c r="D20" s="10" t="s">
        <v>70</v>
      </c>
      <c r="E20" s="10" t="s">
        <v>78</v>
      </c>
      <c r="F20" s="11" t="str" cm="1">
        <f t="array" ref="F20">_xlfn.IFS(ISNUMBER(FIND("硅藻",D20&amp;E20)),"硅藻泥",ISNUMBER(FIND("菠萝圈",D20&amp;E20)),"菠萝圈",AND(ISNUMBER(FIND("水晶绒",D20&amp;E20)),ISNUMBER(FIND("包边",D20&amp;E20))),"包边水晶绒",ISNUMBER(FIND("水晶绒",D20&amp;E20)),"水晶绒",ISNUMBER(FIND("天鹅绒",D20&amp;E20)),"天鹅绒",ISNUMBER(FIND("丝圈",D20&amp;E20)),"丝圈",ISNUMBER(FIND("仿羊绒",D20&amp;E20)),"仿羊绒",ISNUMBER(FIND("亚麻",D20&amp;E20)),"亚麻",ISNUMBER(FIND("皮革",D20&amp;E20)),"皮革",ISNUMBER(FIND("金钻绒",D20&amp;E20)),"金钻绒")</f>
        <v>亚麻</v>
      </c>
      <c r="G20" s="10" t="str">
        <f t="shared" si="0"/>
        <v>亚麻</v>
      </c>
      <c r="H20" s="11" t="str" cm="1">
        <f t="array" ref="H20">_wpsfn.REGEXP(_wpsfn.REGEXP(E20,"([至乘xX✖_\-])",2,"*"),"\d+\*\d+(?:[\*\+]\d+)*")</f>
        <v>60*90</v>
      </c>
      <c r="I20" s="10">
        <f t="shared" si="1"/>
        <v>0.54</v>
      </c>
      <c r="J20" s="10">
        <v>60</v>
      </c>
      <c r="K20" s="10">
        <v>90</v>
      </c>
      <c r="L20" s="10">
        <f t="shared" si="7"/>
        <v>0.6804</v>
      </c>
      <c r="M20" s="10">
        <f t="shared" si="8"/>
        <v>8.748</v>
      </c>
      <c r="N20" s="10"/>
      <c r="O20" s="10"/>
      <c r="P20" s="10" t="s">
        <v>72</v>
      </c>
      <c r="Q20" s="10" t="s">
        <v>73</v>
      </c>
      <c r="R20" s="10" t="s">
        <v>74</v>
      </c>
      <c r="S20" s="10" t="s">
        <v>79</v>
      </c>
      <c r="T20" s="10"/>
      <c r="U20" s="10" t="s">
        <v>37</v>
      </c>
      <c r="V20" s="10">
        <v>9999</v>
      </c>
      <c r="W20" s="10" t="s">
        <v>34</v>
      </c>
      <c r="X20" s="10" t="str">
        <f t="shared" si="4"/>
        <v>萨丽麻橡胶底马蹄形麻纹回框;60*90cm【强烈止滑;;升级加厚】【亚麻】</v>
      </c>
      <c r="Y20" s="10" t="s">
        <v>34</v>
      </c>
      <c r="Z20" s="10" t="s">
        <v>34</v>
      </c>
      <c r="AA20" s="10" t="str">
        <f t="shared" si="5"/>
        <v>萨丽麻橡胶底马蹄形麻纹回框;60*90cm【强烈止滑;;升级加厚】【亚麻】</v>
      </c>
      <c r="AB20" s="10" t="str">
        <f t="shared" si="6"/>
        <v>3710544359745794</v>
      </c>
      <c r="AC20" s="10" t="s">
        <v>34</v>
      </c>
    </row>
    <row r="21" ht="15" spans="1:29">
      <c r="A21" s="10">
        <v>20</v>
      </c>
      <c r="B21" s="10" t="s">
        <v>29</v>
      </c>
      <c r="C21" s="10" t="s">
        <v>69</v>
      </c>
      <c r="D21" s="10" t="s">
        <v>70</v>
      </c>
      <c r="E21" s="10" t="s">
        <v>80</v>
      </c>
      <c r="F21" s="11" t="str" cm="1">
        <f t="array" ref="F21">_xlfn.IFS(ISNUMBER(FIND("硅藻",D21&amp;E21)),"硅藻泥",ISNUMBER(FIND("菠萝圈",D21&amp;E21)),"菠萝圈",AND(ISNUMBER(FIND("水晶绒",D21&amp;E21)),ISNUMBER(FIND("包边",D21&amp;E21))),"包边水晶绒",ISNUMBER(FIND("水晶绒",D21&amp;E21)),"水晶绒",ISNUMBER(FIND("天鹅绒",D21&amp;E21)),"天鹅绒",ISNUMBER(FIND("丝圈",D21&amp;E21)),"丝圈",ISNUMBER(FIND("仿羊绒",D21&amp;E21)),"仿羊绒",ISNUMBER(FIND("亚麻",D21&amp;E21)),"亚麻",ISNUMBER(FIND("皮革",D21&amp;E21)),"皮革",ISNUMBER(FIND("金钻绒",D21&amp;E21)),"金钻绒")</f>
        <v>亚麻</v>
      </c>
      <c r="G21" s="10" t="str">
        <f t="shared" si="0"/>
        <v>亚麻</v>
      </c>
      <c r="H21" s="11" t="str" cm="1">
        <f t="array" ref="H21">_wpsfn.REGEXP(_wpsfn.REGEXP(E21,"([至乘xX✖_\-])",2,"*"),"\d+\*\d+(?:[\*\+]\d+)*")</f>
        <v>40*60</v>
      </c>
      <c r="I21" s="10">
        <f t="shared" si="1"/>
        <v>0.24</v>
      </c>
      <c r="J21" s="10">
        <v>40</v>
      </c>
      <c r="K21" s="10">
        <v>60</v>
      </c>
      <c r="L21" s="10">
        <f t="shared" si="7"/>
        <v>0.3024</v>
      </c>
      <c r="M21" s="10">
        <f t="shared" si="8"/>
        <v>3.888</v>
      </c>
      <c r="N21" s="10"/>
      <c r="O21" s="10"/>
      <c r="P21" s="10" t="s">
        <v>72</v>
      </c>
      <c r="Q21" s="10" t="s">
        <v>73</v>
      </c>
      <c r="R21" s="10" t="s">
        <v>74</v>
      </c>
      <c r="S21" s="10" t="s">
        <v>81</v>
      </c>
      <c r="T21" s="10">
        <v>21.8</v>
      </c>
      <c r="U21" s="10" t="s">
        <v>37</v>
      </c>
      <c r="V21" s="10">
        <v>9999</v>
      </c>
      <c r="W21" s="10" t="s">
        <v>34</v>
      </c>
      <c r="X21" s="10" t="str">
        <f t="shared" si="4"/>
        <v>萨丽麻橡胶底方形麻纹回框;40*60cm【吸水;;厂家直销】【亚麻】</v>
      </c>
      <c r="Y21" s="10" t="s">
        <v>34</v>
      </c>
      <c r="Z21" s="10" t="s">
        <v>34</v>
      </c>
      <c r="AA21" s="10" t="str">
        <f t="shared" si="5"/>
        <v>萨丽麻橡胶底方形麻纹回框;40*60cm【吸水;;厂家直销】【亚麻】</v>
      </c>
      <c r="AB21" s="10" t="str">
        <f t="shared" si="6"/>
        <v>3710544359746050</v>
      </c>
      <c r="AC21" s="10" t="s">
        <v>34</v>
      </c>
    </row>
    <row r="22" ht="15" spans="1:29">
      <c r="A22" s="10">
        <v>21</v>
      </c>
      <c r="B22" s="10" t="s">
        <v>29</v>
      </c>
      <c r="C22" s="10" t="s">
        <v>69</v>
      </c>
      <c r="D22" s="10" t="s">
        <v>70</v>
      </c>
      <c r="E22" s="10" t="s">
        <v>82</v>
      </c>
      <c r="F22" s="11" t="str" cm="1">
        <f t="array" ref="F22">_xlfn.IFS(ISNUMBER(FIND("硅藻",D22&amp;E22)),"硅藻泥",ISNUMBER(FIND("菠萝圈",D22&amp;E22)),"菠萝圈",AND(ISNUMBER(FIND("水晶绒",D22&amp;E22)),ISNUMBER(FIND("包边",D22&amp;E22))),"包边水晶绒",ISNUMBER(FIND("水晶绒",D22&amp;E22)),"水晶绒",ISNUMBER(FIND("天鹅绒",D22&amp;E22)),"天鹅绒",ISNUMBER(FIND("丝圈",D22&amp;E22)),"丝圈",ISNUMBER(FIND("仿羊绒",D22&amp;E22)),"仿羊绒",ISNUMBER(FIND("亚麻",D22&amp;E22)),"亚麻",ISNUMBER(FIND("皮革",D22&amp;E22)),"皮革",ISNUMBER(FIND("金钻绒",D22&amp;E22)),"金钻绒")</f>
        <v>亚麻</v>
      </c>
      <c r="G22" s="10" t="str">
        <f t="shared" si="0"/>
        <v>亚麻</v>
      </c>
      <c r="H22" s="11" t="str" cm="1">
        <f t="array" ref="H22">_wpsfn.REGEXP(_wpsfn.REGEXP(E22,"([至乘xX✖_\-])",2,"*"),"\d+\*\d+(?:[\*\+]\d+)*")</f>
        <v>50*80</v>
      </c>
      <c r="I22" s="10">
        <f t="shared" si="1"/>
        <v>0.4</v>
      </c>
      <c r="J22" s="10">
        <v>50</v>
      </c>
      <c r="K22" s="10">
        <v>80</v>
      </c>
      <c r="L22" s="10">
        <f t="shared" si="7"/>
        <v>0.504</v>
      </c>
      <c r="M22" s="10">
        <f t="shared" si="8"/>
        <v>6.48</v>
      </c>
      <c r="N22" s="10"/>
      <c r="O22" s="10"/>
      <c r="P22" s="10" t="s">
        <v>72</v>
      </c>
      <c r="Q22" s="10" t="s">
        <v>73</v>
      </c>
      <c r="R22" s="10" t="s">
        <v>74</v>
      </c>
      <c r="S22" s="10" t="s">
        <v>83</v>
      </c>
      <c r="T22" s="10">
        <v>35.8</v>
      </c>
      <c r="U22" s="10" t="s">
        <v>37</v>
      </c>
      <c r="V22" s="10">
        <v>9999</v>
      </c>
      <c r="W22" s="10" t="s">
        <v>34</v>
      </c>
      <c r="X22" s="10" t="str">
        <f t="shared" si="4"/>
        <v>萨丽麻橡胶底方形麻纹回框;50*80cm【Q弹舒适;;品质选择】【亚麻】</v>
      </c>
      <c r="Y22" s="10" t="s">
        <v>34</v>
      </c>
      <c r="Z22" s="10" t="s">
        <v>34</v>
      </c>
      <c r="AA22" s="10" t="str">
        <f t="shared" si="5"/>
        <v>萨丽麻橡胶底方形麻纹回框;50*80cm【Q弹舒适;;品质选择】【亚麻】</v>
      </c>
      <c r="AB22" s="10" t="str">
        <f t="shared" si="6"/>
        <v>3710544359746306</v>
      </c>
      <c r="AC22" s="10" t="s">
        <v>34</v>
      </c>
    </row>
    <row r="23" ht="15" spans="1:29">
      <c r="A23" s="10">
        <v>22</v>
      </c>
      <c r="B23" s="10" t="s">
        <v>29</v>
      </c>
      <c r="C23" s="10" t="s">
        <v>69</v>
      </c>
      <c r="D23" s="10" t="s">
        <v>70</v>
      </c>
      <c r="E23" s="10" t="s">
        <v>84</v>
      </c>
      <c r="F23" s="11" t="str" cm="1">
        <f t="array" ref="F23">_xlfn.IFS(ISNUMBER(FIND("硅藻",D23&amp;E23)),"硅藻泥",ISNUMBER(FIND("菠萝圈",D23&amp;E23)),"菠萝圈",AND(ISNUMBER(FIND("水晶绒",D23&amp;E23)),ISNUMBER(FIND("包边",D23&amp;E23))),"包边水晶绒",ISNUMBER(FIND("水晶绒",D23&amp;E23)),"水晶绒",ISNUMBER(FIND("天鹅绒",D23&amp;E23)),"天鹅绒",ISNUMBER(FIND("丝圈",D23&amp;E23)),"丝圈",ISNUMBER(FIND("仿羊绒",D23&amp;E23)),"仿羊绒",ISNUMBER(FIND("亚麻",D23&amp;E23)),"亚麻",ISNUMBER(FIND("皮革",D23&amp;E23)),"皮革",ISNUMBER(FIND("金钻绒",D23&amp;E23)),"金钻绒")</f>
        <v>亚麻</v>
      </c>
      <c r="G23" s="10" t="str">
        <f t="shared" si="0"/>
        <v>亚麻</v>
      </c>
      <c r="H23" s="11" t="str" cm="1">
        <f t="array" ref="H23">_wpsfn.REGEXP(_wpsfn.REGEXP(E23,"([至乘xX✖_\-])",2,"*"),"\d+\*\d+(?:[\*\+]\d+)*")</f>
        <v>60*90</v>
      </c>
      <c r="I23" s="10">
        <f t="shared" si="1"/>
        <v>0.54</v>
      </c>
      <c r="J23" s="10">
        <v>60</v>
      </c>
      <c r="K23" s="10">
        <v>90</v>
      </c>
      <c r="L23" s="10">
        <f t="shared" si="7"/>
        <v>0.6804</v>
      </c>
      <c r="M23" s="10">
        <f t="shared" si="8"/>
        <v>8.748</v>
      </c>
      <c r="N23" s="10"/>
      <c r="O23" s="10"/>
      <c r="P23" s="10" t="s">
        <v>72</v>
      </c>
      <c r="Q23" s="10" t="s">
        <v>73</v>
      </c>
      <c r="R23" s="10" t="s">
        <v>74</v>
      </c>
      <c r="S23" s="10" t="s">
        <v>85</v>
      </c>
      <c r="T23" s="10">
        <v>43</v>
      </c>
      <c r="U23" s="10" t="s">
        <v>37</v>
      </c>
      <c r="V23" s="10">
        <v>9999</v>
      </c>
      <c r="W23" s="10" t="s">
        <v>34</v>
      </c>
      <c r="X23" s="10" t="str">
        <f t="shared" si="4"/>
        <v>萨丽麻橡胶底方形麻纹回框;60*90cm【强烈止滑;;升级加厚】【亚麻】</v>
      </c>
      <c r="Y23" s="10" t="s">
        <v>34</v>
      </c>
      <c r="Z23" s="10" t="s">
        <v>34</v>
      </c>
      <c r="AA23" s="10" t="str">
        <f t="shared" si="5"/>
        <v>萨丽麻橡胶底方形麻纹回框;60*90cm【强烈止滑;;升级加厚】【亚麻】</v>
      </c>
      <c r="AB23" s="10" t="str">
        <f t="shared" si="6"/>
        <v>3710544359746562</v>
      </c>
      <c r="AC23" s="10" t="s">
        <v>34</v>
      </c>
    </row>
    <row r="24" ht="15" spans="1:29">
      <c r="A24" s="10">
        <v>23</v>
      </c>
      <c r="B24" s="10" t="s">
        <v>29</v>
      </c>
      <c r="C24" s="10" t="s">
        <v>69</v>
      </c>
      <c r="D24" s="10" t="s">
        <v>70</v>
      </c>
      <c r="E24" s="10" t="s">
        <v>86</v>
      </c>
      <c r="F24" s="11" t="str" cm="1">
        <f t="array" ref="F24">_xlfn.IFS(ISNUMBER(FIND("硅藻",D24&amp;E24)),"硅藻泥",ISNUMBER(FIND("菠萝圈",D24&amp;E24)),"菠萝圈",AND(ISNUMBER(FIND("水晶绒",D24&amp;E24)),ISNUMBER(FIND("包边",D24&amp;E24))),"包边水晶绒",ISNUMBER(FIND("水晶绒",D24&amp;E24)),"水晶绒",ISNUMBER(FIND("天鹅绒",D24&amp;E24)),"天鹅绒",ISNUMBER(FIND("丝圈",D24&amp;E24)),"丝圈",ISNUMBER(FIND("仿羊绒",D24&amp;E24)),"仿羊绒",ISNUMBER(FIND("亚麻",D24&amp;E24)),"亚麻",ISNUMBER(FIND("皮革",D24&amp;E24)),"皮革",ISNUMBER(FIND("金钻绒",D24&amp;E24)),"金钻绒")</f>
        <v>亚麻</v>
      </c>
      <c r="G24" s="10" t="str">
        <f t="shared" si="0"/>
        <v>亚麻</v>
      </c>
      <c r="H24" s="11" t="str" cm="1">
        <f t="array" ref="H24">_wpsfn.REGEXP(_wpsfn.REGEXP(E24,"([至乘xX✖_\-])",2,"*"),"\d+\*\d+(?:[\*\+]\d+)*")</f>
        <v>40*60</v>
      </c>
      <c r="I24" s="10">
        <f t="shared" si="1"/>
        <v>0.24</v>
      </c>
      <c r="J24" s="10">
        <v>40</v>
      </c>
      <c r="K24" s="10">
        <v>60</v>
      </c>
      <c r="L24" s="10">
        <f t="shared" si="7"/>
        <v>0.3024</v>
      </c>
      <c r="M24" s="10">
        <f t="shared" si="8"/>
        <v>3.888</v>
      </c>
      <c r="N24" s="10"/>
      <c r="O24" s="10"/>
      <c r="P24" s="10" t="s">
        <v>72</v>
      </c>
      <c r="Q24" s="10" t="s">
        <v>73</v>
      </c>
      <c r="R24" s="10" t="s">
        <v>74</v>
      </c>
      <c r="S24" s="10" t="s">
        <v>87</v>
      </c>
      <c r="T24" s="10">
        <v>21.8</v>
      </c>
      <c r="U24" s="10" t="s">
        <v>37</v>
      </c>
      <c r="V24" s="10">
        <v>9999</v>
      </c>
      <c r="W24" s="10" t="s">
        <v>34</v>
      </c>
      <c r="X24" s="10" t="str">
        <f t="shared" si="4"/>
        <v>萨丽麻橡胶底马蹄形麻纹春风;40*60cm【吸水;;厂家直销】【亚麻】</v>
      </c>
      <c r="Y24" s="10" t="s">
        <v>34</v>
      </c>
      <c r="Z24" s="10" t="s">
        <v>34</v>
      </c>
      <c r="AA24" s="10" t="str">
        <f t="shared" si="5"/>
        <v>萨丽麻橡胶底马蹄形麻纹春风;40*60cm【吸水;;厂家直销】【亚麻】</v>
      </c>
      <c r="AB24" s="10" t="str">
        <f t="shared" si="6"/>
        <v>3710544359746818</v>
      </c>
      <c r="AC24" s="10" t="s">
        <v>34</v>
      </c>
    </row>
    <row r="25" ht="15" spans="1:29">
      <c r="A25" s="10">
        <v>24</v>
      </c>
      <c r="B25" s="10" t="s">
        <v>29</v>
      </c>
      <c r="C25" s="10" t="s">
        <v>69</v>
      </c>
      <c r="D25" s="10" t="s">
        <v>70</v>
      </c>
      <c r="E25" s="10" t="s">
        <v>88</v>
      </c>
      <c r="F25" s="11" t="str" cm="1">
        <f t="array" ref="F25">_xlfn.IFS(ISNUMBER(FIND("硅藻",D25&amp;E25)),"硅藻泥",ISNUMBER(FIND("菠萝圈",D25&amp;E25)),"菠萝圈",AND(ISNUMBER(FIND("水晶绒",D25&amp;E25)),ISNUMBER(FIND("包边",D25&amp;E25))),"包边水晶绒",ISNUMBER(FIND("水晶绒",D25&amp;E25)),"水晶绒",ISNUMBER(FIND("天鹅绒",D25&amp;E25)),"天鹅绒",ISNUMBER(FIND("丝圈",D25&amp;E25)),"丝圈",ISNUMBER(FIND("仿羊绒",D25&amp;E25)),"仿羊绒",ISNUMBER(FIND("亚麻",D25&amp;E25)),"亚麻",ISNUMBER(FIND("皮革",D25&amp;E25)),"皮革",ISNUMBER(FIND("金钻绒",D25&amp;E25)),"金钻绒")</f>
        <v>亚麻</v>
      </c>
      <c r="G25" s="10" t="str">
        <f t="shared" si="0"/>
        <v>亚麻</v>
      </c>
      <c r="H25" s="11" t="str" cm="1">
        <f t="array" ref="H25">_wpsfn.REGEXP(_wpsfn.REGEXP(E25,"([至乘xX✖_\-])",2,"*"),"\d+\*\d+(?:[\*\+]\d+)*")</f>
        <v>50*80</v>
      </c>
      <c r="I25" s="10">
        <f t="shared" si="1"/>
        <v>0.4</v>
      </c>
      <c r="J25" s="10">
        <v>50</v>
      </c>
      <c r="K25" s="10">
        <v>80</v>
      </c>
      <c r="L25" s="10">
        <f t="shared" si="7"/>
        <v>0.504</v>
      </c>
      <c r="M25" s="10">
        <f t="shared" si="8"/>
        <v>6.48</v>
      </c>
      <c r="N25" s="10"/>
      <c r="O25" s="10"/>
      <c r="P25" s="10" t="s">
        <v>72</v>
      </c>
      <c r="Q25" s="10" t="s">
        <v>73</v>
      </c>
      <c r="R25" s="10" t="s">
        <v>74</v>
      </c>
      <c r="S25" s="10" t="s">
        <v>89</v>
      </c>
      <c r="T25" s="10">
        <v>35.8</v>
      </c>
      <c r="U25" s="10" t="s">
        <v>37</v>
      </c>
      <c r="V25" s="10">
        <v>9999</v>
      </c>
      <c r="W25" s="10" t="s">
        <v>34</v>
      </c>
      <c r="X25" s="10" t="str">
        <f t="shared" si="4"/>
        <v>萨丽麻橡胶底马蹄形麻纹春风;50*80cm【Q弹舒适;;品质选择】【亚麻】</v>
      </c>
      <c r="Y25" s="10" t="s">
        <v>34</v>
      </c>
      <c r="Z25" s="10" t="s">
        <v>34</v>
      </c>
      <c r="AA25" s="10" t="str">
        <f t="shared" si="5"/>
        <v>萨丽麻橡胶底马蹄形麻纹春风;50*80cm【Q弹舒适;;品质选择】【亚麻】</v>
      </c>
      <c r="AB25" s="10" t="str">
        <f t="shared" si="6"/>
        <v>3710544359747074</v>
      </c>
      <c r="AC25" s="10" t="s">
        <v>34</v>
      </c>
    </row>
    <row r="26" ht="15" spans="1:29">
      <c r="A26" s="10">
        <v>25</v>
      </c>
      <c r="B26" s="10" t="s">
        <v>29</v>
      </c>
      <c r="C26" s="10" t="s">
        <v>69</v>
      </c>
      <c r="D26" s="10" t="s">
        <v>70</v>
      </c>
      <c r="E26" s="10" t="s">
        <v>90</v>
      </c>
      <c r="F26" s="11" t="str" cm="1">
        <f t="array" ref="F26">_xlfn.IFS(ISNUMBER(FIND("硅藻",D26&amp;E26)),"硅藻泥",ISNUMBER(FIND("菠萝圈",D26&amp;E26)),"菠萝圈",AND(ISNUMBER(FIND("水晶绒",D26&amp;E26)),ISNUMBER(FIND("包边",D26&amp;E26))),"包边水晶绒",ISNUMBER(FIND("水晶绒",D26&amp;E26)),"水晶绒",ISNUMBER(FIND("天鹅绒",D26&amp;E26)),"天鹅绒",ISNUMBER(FIND("丝圈",D26&amp;E26)),"丝圈",ISNUMBER(FIND("仿羊绒",D26&amp;E26)),"仿羊绒",ISNUMBER(FIND("亚麻",D26&amp;E26)),"亚麻",ISNUMBER(FIND("皮革",D26&amp;E26)),"皮革",ISNUMBER(FIND("金钻绒",D26&amp;E26)),"金钻绒")</f>
        <v>亚麻</v>
      </c>
      <c r="G26" s="10" t="str">
        <f t="shared" si="0"/>
        <v>亚麻</v>
      </c>
      <c r="H26" s="11" t="str" cm="1">
        <f t="array" ref="H26">_wpsfn.REGEXP(_wpsfn.REGEXP(E26,"([至乘xX✖_\-])",2,"*"),"\d+\*\d+(?:[\*\+]\d+)*")</f>
        <v>60*90</v>
      </c>
      <c r="I26" s="10">
        <f t="shared" si="1"/>
        <v>0.54</v>
      </c>
      <c r="J26" s="10">
        <v>60</v>
      </c>
      <c r="K26" s="10">
        <v>90</v>
      </c>
      <c r="L26" s="10">
        <f t="shared" si="7"/>
        <v>0.6804</v>
      </c>
      <c r="M26" s="10">
        <f t="shared" si="8"/>
        <v>8.748</v>
      </c>
      <c r="N26" s="10"/>
      <c r="O26" s="10"/>
      <c r="P26" s="10" t="s">
        <v>72</v>
      </c>
      <c r="Q26" s="10" t="s">
        <v>73</v>
      </c>
      <c r="R26" s="10" t="s">
        <v>74</v>
      </c>
      <c r="S26" s="10" t="s">
        <v>91</v>
      </c>
      <c r="T26" s="10">
        <v>43</v>
      </c>
      <c r="U26" s="10" t="s">
        <v>37</v>
      </c>
      <c r="V26" s="10">
        <v>9999</v>
      </c>
      <c r="W26" s="10" t="s">
        <v>34</v>
      </c>
      <c r="X26" s="10" t="str">
        <f t="shared" si="4"/>
        <v>萨丽麻橡胶底马蹄形麻纹春风;60*90cm【强烈止滑;;升级加厚】【亚麻】</v>
      </c>
      <c r="Y26" s="10" t="s">
        <v>34</v>
      </c>
      <c r="Z26" s="10" t="s">
        <v>34</v>
      </c>
      <c r="AA26" s="10" t="str">
        <f t="shared" si="5"/>
        <v>萨丽麻橡胶底马蹄形麻纹春风;60*90cm【强烈止滑;;升级加厚】【亚麻】</v>
      </c>
      <c r="AB26" s="10" t="str">
        <f t="shared" si="6"/>
        <v>3710544359747330</v>
      </c>
      <c r="AC26" s="10" t="s">
        <v>34</v>
      </c>
    </row>
    <row r="27" ht="15" spans="1:29">
      <c r="A27" s="10">
        <v>26</v>
      </c>
      <c r="B27" s="10" t="s">
        <v>29</v>
      </c>
      <c r="C27" s="10" t="s">
        <v>69</v>
      </c>
      <c r="D27" s="10" t="s">
        <v>70</v>
      </c>
      <c r="E27" s="10" t="s">
        <v>92</v>
      </c>
      <c r="F27" s="11" t="str" cm="1">
        <f t="array" ref="F27">_xlfn.IFS(ISNUMBER(FIND("硅藻",D27&amp;E27)),"硅藻泥",ISNUMBER(FIND("菠萝圈",D27&amp;E27)),"菠萝圈",AND(ISNUMBER(FIND("水晶绒",D27&amp;E27)),ISNUMBER(FIND("包边",D27&amp;E27))),"包边水晶绒",ISNUMBER(FIND("水晶绒",D27&amp;E27)),"水晶绒",ISNUMBER(FIND("天鹅绒",D27&amp;E27)),"天鹅绒",ISNUMBER(FIND("丝圈",D27&amp;E27)),"丝圈",ISNUMBER(FIND("仿羊绒",D27&amp;E27)),"仿羊绒",ISNUMBER(FIND("亚麻",D27&amp;E27)),"亚麻",ISNUMBER(FIND("皮革",D27&amp;E27)),"皮革",ISNUMBER(FIND("金钻绒",D27&amp;E27)),"金钻绒")</f>
        <v>亚麻</v>
      </c>
      <c r="G27" s="10" t="str">
        <f t="shared" si="0"/>
        <v>亚麻</v>
      </c>
      <c r="H27" s="11" t="str" cm="1">
        <f t="array" ref="H27">_wpsfn.REGEXP(_wpsfn.REGEXP(E27,"([至乘xX✖_\-])",2,"*"),"\d+\*\d+(?:[\*\+]\d+)*")</f>
        <v>40*60</v>
      </c>
      <c r="I27" s="10">
        <f t="shared" si="1"/>
        <v>0.24</v>
      </c>
      <c r="J27" s="10">
        <v>40</v>
      </c>
      <c r="K27" s="10">
        <v>60</v>
      </c>
      <c r="L27" s="10">
        <f t="shared" si="7"/>
        <v>0.3024</v>
      </c>
      <c r="M27" s="10">
        <f t="shared" si="8"/>
        <v>3.888</v>
      </c>
      <c r="N27" s="10"/>
      <c r="O27" s="10"/>
      <c r="P27" s="10" t="s">
        <v>72</v>
      </c>
      <c r="Q27" s="10" t="s">
        <v>73</v>
      </c>
      <c r="R27" s="10" t="s">
        <v>74</v>
      </c>
      <c r="S27" s="10" t="s">
        <v>93</v>
      </c>
      <c r="T27" s="10">
        <v>21.8</v>
      </c>
      <c r="U27" s="10" t="s">
        <v>37</v>
      </c>
      <c r="V27" s="10">
        <v>9999</v>
      </c>
      <c r="W27" s="10" t="s">
        <v>34</v>
      </c>
      <c r="X27" s="10" t="str">
        <f t="shared" si="4"/>
        <v>萨丽麻橡胶底方形麻纹春风;40*60cm【吸水;;厂家直销】【亚麻】</v>
      </c>
      <c r="Y27" s="10" t="s">
        <v>34</v>
      </c>
      <c r="Z27" s="10" t="s">
        <v>34</v>
      </c>
      <c r="AA27" s="10" t="str">
        <f t="shared" si="5"/>
        <v>萨丽麻橡胶底方形麻纹春风;40*60cm【吸水;;厂家直销】【亚麻】</v>
      </c>
      <c r="AB27" s="10" t="str">
        <f t="shared" si="6"/>
        <v>3710544359747586</v>
      </c>
      <c r="AC27" s="10" t="s">
        <v>34</v>
      </c>
    </row>
    <row r="28" ht="15" spans="1:29">
      <c r="A28" s="10">
        <v>27</v>
      </c>
      <c r="B28" s="10" t="s">
        <v>29</v>
      </c>
      <c r="C28" s="10" t="s">
        <v>69</v>
      </c>
      <c r="D28" s="10" t="s">
        <v>70</v>
      </c>
      <c r="E28" s="10" t="s">
        <v>94</v>
      </c>
      <c r="F28" s="11" t="str" cm="1">
        <f t="array" ref="F28">_xlfn.IFS(ISNUMBER(FIND("硅藻",D28&amp;E28)),"硅藻泥",ISNUMBER(FIND("菠萝圈",D28&amp;E28)),"菠萝圈",AND(ISNUMBER(FIND("水晶绒",D28&amp;E28)),ISNUMBER(FIND("包边",D28&amp;E28))),"包边水晶绒",ISNUMBER(FIND("水晶绒",D28&amp;E28)),"水晶绒",ISNUMBER(FIND("天鹅绒",D28&amp;E28)),"天鹅绒",ISNUMBER(FIND("丝圈",D28&amp;E28)),"丝圈",ISNUMBER(FIND("仿羊绒",D28&amp;E28)),"仿羊绒",ISNUMBER(FIND("亚麻",D28&amp;E28)),"亚麻",ISNUMBER(FIND("皮革",D28&amp;E28)),"皮革",ISNUMBER(FIND("金钻绒",D28&amp;E28)),"金钻绒")</f>
        <v>亚麻</v>
      </c>
      <c r="G28" s="10" t="str">
        <f t="shared" si="0"/>
        <v>亚麻</v>
      </c>
      <c r="H28" s="11" t="str" cm="1">
        <f t="array" ref="H28">_wpsfn.REGEXP(_wpsfn.REGEXP(E28,"([至乘xX✖_\-])",2,"*"),"\d+\*\d+(?:[\*\+]\d+)*")</f>
        <v>50*80</v>
      </c>
      <c r="I28" s="10">
        <f t="shared" si="1"/>
        <v>0.4</v>
      </c>
      <c r="J28" s="10">
        <v>50</v>
      </c>
      <c r="K28" s="10">
        <v>80</v>
      </c>
      <c r="L28" s="10">
        <f t="shared" si="7"/>
        <v>0.504</v>
      </c>
      <c r="M28" s="10">
        <f t="shared" si="8"/>
        <v>6.48</v>
      </c>
      <c r="N28" s="10"/>
      <c r="O28" s="10"/>
      <c r="P28" s="10" t="s">
        <v>72</v>
      </c>
      <c r="Q28" s="10" t="s">
        <v>73</v>
      </c>
      <c r="R28" s="10" t="s">
        <v>74</v>
      </c>
      <c r="S28" s="10" t="s">
        <v>95</v>
      </c>
      <c r="T28" s="10">
        <v>35.8</v>
      </c>
      <c r="U28" s="10" t="s">
        <v>37</v>
      </c>
      <c r="V28" s="10">
        <v>9999</v>
      </c>
      <c r="W28" s="10" t="s">
        <v>34</v>
      </c>
      <c r="X28" s="10" t="str">
        <f t="shared" si="4"/>
        <v>萨丽麻橡胶底方形麻纹春风;50*80cm【Q弹舒适;;品质选择】【亚麻】</v>
      </c>
      <c r="Y28" s="10" t="s">
        <v>34</v>
      </c>
      <c r="Z28" s="10" t="s">
        <v>34</v>
      </c>
      <c r="AA28" s="10" t="str">
        <f t="shared" si="5"/>
        <v>萨丽麻橡胶底方形麻纹春风;50*80cm【Q弹舒适;;品质选择】【亚麻】</v>
      </c>
      <c r="AB28" s="10" t="str">
        <f t="shared" si="6"/>
        <v>3710544359747842</v>
      </c>
      <c r="AC28" s="10" t="s">
        <v>34</v>
      </c>
    </row>
    <row r="29" ht="15" spans="1:29">
      <c r="A29" s="10">
        <v>28</v>
      </c>
      <c r="B29" s="10" t="s">
        <v>29</v>
      </c>
      <c r="C29" s="10" t="s">
        <v>69</v>
      </c>
      <c r="D29" s="10" t="s">
        <v>70</v>
      </c>
      <c r="E29" s="10" t="s">
        <v>96</v>
      </c>
      <c r="F29" s="11" t="str" cm="1">
        <f t="array" ref="F29">_xlfn.IFS(ISNUMBER(FIND("硅藻",D29&amp;E29)),"硅藻泥",ISNUMBER(FIND("菠萝圈",D29&amp;E29)),"菠萝圈",AND(ISNUMBER(FIND("水晶绒",D29&amp;E29)),ISNUMBER(FIND("包边",D29&amp;E29))),"包边水晶绒",ISNUMBER(FIND("水晶绒",D29&amp;E29)),"水晶绒",ISNUMBER(FIND("天鹅绒",D29&amp;E29)),"天鹅绒",ISNUMBER(FIND("丝圈",D29&amp;E29)),"丝圈",ISNUMBER(FIND("仿羊绒",D29&amp;E29)),"仿羊绒",ISNUMBER(FIND("亚麻",D29&amp;E29)),"亚麻",ISNUMBER(FIND("皮革",D29&amp;E29)),"皮革",ISNUMBER(FIND("金钻绒",D29&amp;E29)),"金钻绒")</f>
        <v>亚麻</v>
      </c>
      <c r="G29" s="10" t="str">
        <f t="shared" si="0"/>
        <v>亚麻</v>
      </c>
      <c r="H29" s="11" t="str" cm="1">
        <f t="array" ref="H29">_wpsfn.REGEXP(_wpsfn.REGEXP(E29,"([至乘xX✖_\-])",2,"*"),"\d+\*\d+(?:[\*\+]\d+)*")</f>
        <v>60*90</v>
      </c>
      <c r="I29" s="10">
        <f t="shared" si="1"/>
        <v>0.54</v>
      </c>
      <c r="J29" s="10">
        <v>60</v>
      </c>
      <c r="K29" s="10">
        <v>90</v>
      </c>
      <c r="L29" s="10">
        <f t="shared" si="7"/>
        <v>0.6804</v>
      </c>
      <c r="M29" s="10">
        <f t="shared" si="8"/>
        <v>8.748</v>
      </c>
      <c r="N29" s="10"/>
      <c r="O29" s="10"/>
      <c r="P29" s="10" t="s">
        <v>72</v>
      </c>
      <c r="Q29" s="10" t="s">
        <v>73</v>
      </c>
      <c r="R29" s="10" t="s">
        <v>74</v>
      </c>
      <c r="S29" s="10" t="s">
        <v>97</v>
      </c>
      <c r="T29" s="10">
        <v>43</v>
      </c>
      <c r="U29" s="10" t="s">
        <v>37</v>
      </c>
      <c r="V29" s="10">
        <v>9999</v>
      </c>
      <c r="W29" s="10" t="s">
        <v>34</v>
      </c>
      <c r="X29" s="10" t="str">
        <f t="shared" si="4"/>
        <v>萨丽麻橡胶底方形麻纹春风;60*90cm【强烈止滑;;升级加厚】【亚麻】</v>
      </c>
      <c r="Y29" s="10" t="s">
        <v>34</v>
      </c>
      <c r="Z29" s="10" t="s">
        <v>34</v>
      </c>
      <c r="AA29" s="10" t="str">
        <f t="shared" si="5"/>
        <v>萨丽麻橡胶底方形麻纹春风;60*90cm【强烈止滑;;升级加厚】【亚麻】</v>
      </c>
      <c r="AB29" s="10" t="str">
        <f t="shared" si="6"/>
        <v>3710544359748098</v>
      </c>
      <c r="AC29" s="10" t="s">
        <v>34</v>
      </c>
    </row>
    <row r="30" ht="15" spans="1:29">
      <c r="A30" s="10">
        <v>29</v>
      </c>
      <c r="B30" s="10" t="s">
        <v>29</v>
      </c>
      <c r="C30" s="10" t="s">
        <v>69</v>
      </c>
      <c r="D30" s="10" t="s">
        <v>70</v>
      </c>
      <c r="E30" s="10" t="s">
        <v>98</v>
      </c>
      <c r="F30" s="11" t="str" cm="1">
        <f t="array" ref="F30">_xlfn.IFS(ISNUMBER(FIND("硅藻",D30&amp;E30)),"硅藻泥",ISNUMBER(FIND("菠萝圈",D30&amp;E30)),"菠萝圈",AND(ISNUMBER(FIND("水晶绒",D30&amp;E30)),ISNUMBER(FIND("包边",D30&amp;E30))),"包边水晶绒",ISNUMBER(FIND("水晶绒",D30&amp;E30)),"水晶绒",ISNUMBER(FIND("天鹅绒",D30&amp;E30)),"天鹅绒",ISNUMBER(FIND("丝圈",D30&amp;E30)),"丝圈",ISNUMBER(FIND("仿羊绒",D30&amp;E30)),"仿羊绒",ISNUMBER(FIND("亚麻",D30&amp;E30)),"亚麻",ISNUMBER(FIND("皮革",D30&amp;E30)),"皮革",ISNUMBER(FIND("金钻绒",D30&amp;E30)),"金钻绒")</f>
        <v>亚麻</v>
      </c>
      <c r="G30" s="10" t="str">
        <f t="shared" si="0"/>
        <v>亚麻</v>
      </c>
      <c r="H30" s="11" t="str" cm="1">
        <f t="array" ref="H30">_wpsfn.REGEXP(_wpsfn.REGEXP(E30,"([至乘xX✖_\-])",2,"*"),"\d+\*\d+(?:[\*\+]\d+)*")</f>
        <v>40*60</v>
      </c>
      <c r="I30" s="10">
        <f t="shared" si="1"/>
        <v>0.24</v>
      </c>
      <c r="J30" s="10">
        <v>40</v>
      </c>
      <c r="K30" s="10">
        <v>60</v>
      </c>
      <c r="L30" s="10">
        <f t="shared" si="7"/>
        <v>0.3024</v>
      </c>
      <c r="M30" s="10">
        <f t="shared" si="8"/>
        <v>3.888</v>
      </c>
      <c r="N30" s="10"/>
      <c r="O30" s="10"/>
      <c r="P30" s="10" t="s">
        <v>72</v>
      </c>
      <c r="Q30" s="10" t="s">
        <v>73</v>
      </c>
      <c r="R30" s="10" t="s">
        <v>74</v>
      </c>
      <c r="S30" s="10" t="s">
        <v>99</v>
      </c>
      <c r="T30" s="10">
        <v>21.8</v>
      </c>
      <c r="U30" s="10" t="s">
        <v>37</v>
      </c>
      <c r="V30" s="10">
        <v>9999</v>
      </c>
      <c r="W30" s="10" t="s">
        <v>34</v>
      </c>
      <c r="X30" s="10" t="str">
        <f t="shared" si="4"/>
        <v>萨丽麻橡胶底马蹄形麻纹香叶;40*60cm【吸水;;厂家直销】【亚麻】</v>
      </c>
      <c r="Y30" s="10" t="s">
        <v>34</v>
      </c>
      <c r="Z30" s="10" t="s">
        <v>34</v>
      </c>
      <c r="AA30" s="10" t="str">
        <f t="shared" si="5"/>
        <v>萨丽麻橡胶底马蹄形麻纹香叶;40*60cm【吸水;;厂家直销】【亚麻】</v>
      </c>
      <c r="AB30" s="10" t="str">
        <f t="shared" si="6"/>
        <v>3710544359748354</v>
      </c>
      <c r="AC30" s="10" t="s">
        <v>34</v>
      </c>
    </row>
    <row r="31" ht="15" spans="1:29">
      <c r="A31" s="10">
        <v>30</v>
      </c>
      <c r="B31" s="10" t="s">
        <v>29</v>
      </c>
      <c r="C31" s="10" t="s">
        <v>69</v>
      </c>
      <c r="D31" s="10" t="s">
        <v>70</v>
      </c>
      <c r="E31" s="10" t="s">
        <v>100</v>
      </c>
      <c r="F31" s="11" t="str" cm="1">
        <f t="array" ref="F31">_xlfn.IFS(ISNUMBER(FIND("硅藻",D31&amp;E31)),"硅藻泥",ISNUMBER(FIND("菠萝圈",D31&amp;E31)),"菠萝圈",AND(ISNUMBER(FIND("水晶绒",D31&amp;E31)),ISNUMBER(FIND("包边",D31&amp;E31))),"包边水晶绒",ISNUMBER(FIND("水晶绒",D31&amp;E31)),"水晶绒",ISNUMBER(FIND("天鹅绒",D31&amp;E31)),"天鹅绒",ISNUMBER(FIND("丝圈",D31&amp;E31)),"丝圈",ISNUMBER(FIND("仿羊绒",D31&amp;E31)),"仿羊绒",ISNUMBER(FIND("亚麻",D31&amp;E31)),"亚麻",ISNUMBER(FIND("皮革",D31&amp;E31)),"皮革",ISNUMBER(FIND("金钻绒",D31&amp;E31)),"金钻绒")</f>
        <v>亚麻</v>
      </c>
      <c r="G31" s="10" t="str">
        <f t="shared" si="0"/>
        <v>亚麻</v>
      </c>
      <c r="H31" s="11" t="str" cm="1">
        <f t="array" ref="H31">_wpsfn.REGEXP(_wpsfn.REGEXP(E31,"([至乘xX✖_\-])",2,"*"),"\d+\*\d+(?:[\*\+]\d+)*")</f>
        <v>50*80</v>
      </c>
      <c r="I31" s="10">
        <f t="shared" si="1"/>
        <v>0.4</v>
      </c>
      <c r="J31" s="10">
        <v>50</v>
      </c>
      <c r="K31" s="10">
        <v>80</v>
      </c>
      <c r="L31" s="10">
        <f t="shared" si="7"/>
        <v>0.504</v>
      </c>
      <c r="M31" s="10">
        <f t="shared" si="8"/>
        <v>6.48</v>
      </c>
      <c r="N31" s="10"/>
      <c r="O31" s="10"/>
      <c r="P31" s="10" t="s">
        <v>72</v>
      </c>
      <c r="Q31" s="10" t="s">
        <v>73</v>
      </c>
      <c r="R31" s="10" t="s">
        <v>74</v>
      </c>
      <c r="S31" s="10" t="s">
        <v>101</v>
      </c>
      <c r="T31" s="10">
        <v>35.8</v>
      </c>
      <c r="U31" s="10" t="s">
        <v>37</v>
      </c>
      <c r="V31" s="10">
        <v>9999</v>
      </c>
      <c r="W31" s="10" t="s">
        <v>34</v>
      </c>
      <c r="X31" s="10" t="str">
        <f t="shared" si="4"/>
        <v>萨丽麻橡胶底马蹄形麻纹香叶;50*80cm【Q弹舒适;;品质选择】【亚麻】</v>
      </c>
      <c r="Y31" s="10" t="s">
        <v>34</v>
      </c>
      <c r="Z31" s="10" t="s">
        <v>34</v>
      </c>
      <c r="AA31" s="10" t="str">
        <f t="shared" si="5"/>
        <v>萨丽麻橡胶底马蹄形麻纹香叶;50*80cm【Q弹舒适;;品质选择】【亚麻】</v>
      </c>
      <c r="AB31" s="10" t="str">
        <f t="shared" si="6"/>
        <v>3710544359748610</v>
      </c>
      <c r="AC31" s="10" t="s">
        <v>34</v>
      </c>
    </row>
    <row r="32" ht="15" spans="1:29">
      <c r="A32" s="10">
        <v>31</v>
      </c>
      <c r="B32" s="10" t="s">
        <v>29</v>
      </c>
      <c r="C32" s="10" t="s">
        <v>69</v>
      </c>
      <c r="D32" s="10" t="s">
        <v>70</v>
      </c>
      <c r="E32" s="10" t="s">
        <v>102</v>
      </c>
      <c r="F32" s="11" t="str" cm="1">
        <f t="array" ref="F32">_xlfn.IFS(ISNUMBER(FIND("硅藻",D32&amp;E32)),"硅藻泥",ISNUMBER(FIND("菠萝圈",D32&amp;E32)),"菠萝圈",AND(ISNUMBER(FIND("水晶绒",D32&amp;E32)),ISNUMBER(FIND("包边",D32&amp;E32))),"包边水晶绒",ISNUMBER(FIND("水晶绒",D32&amp;E32)),"水晶绒",ISNUMBER(FIND("天鹅绒",D32&amp;E32)),"天鹅绒",ISNUMBER(FIND("丝圈",D32&amp;E32)),"丝圈",ISNUMBER(FIND("仿羊绒",D32&amp;E32)),"仿羊绒",ISNUMBER(FIND("亚麻",D32&amp;E32)),"亚麻",ISNUMBER(FIND("皮革",D32&amp;E32)),"皮革",ISNUMBER(FIND("金钻绒",D32&amp;E32)),"金钻绒")</f>
        <v>亚麻</v>
      </c>
      <c r="G32" s="10" t="str">
        <f t="shared" si="0"/>
        <v>亚麻</v>
      </c>
      <c r="H32" s="11" t="str" cm="1">
        <f t="array" ref="H32">_wpsfn.REGEXP(_wpsfn.REGEXP(E32,"([至乘xX✖_\-])",2,"*"),"\d+\*\d+(?:[\*\+]\d+)*")</f>
        <v>60*90</v>
      </c>
      <c r="I32" s="10">
        <f t="shared" si="1"/>
        <v>0.54</v>
      </c>
      <c r="J32" s="10">
        <v>60</v>
      </c>
      <c r="K32" s="10">
        <v>90</v>
      </c>
      <c r="L32" s="10">
        <f t="shared" si="7"/>
        <v>0.6804</v>
      </c>
      <c r="M32" s="10">
        <f t="shared" si="8"/>
        <v>8.748</v>
      </c>
      <c r="N32" s="10"/>
      <c r="O32" s="10"/>
      <c r="P32" s="10" t="s">
        <v>72</v>
      </c>
      <c r="Q32" s="10" t="s">
        <v>73</v>
      </c>
      <c r="R32" s="10" t="s">
        <v>74</v>
      </c>
      <c r="S32" s="10" t="s">
        <v>103</v>
      </c>
      <c r="T32" s="10">
        <v>43</v>
      </c>
      <c r="U32" s="10" t="s">
        <v>37</v>
      </c>
      <c r="V32" s="10">
        <v>9999</v>
      </c>
      <c r="W32" s="10" t="s">
        <v>34</v>
      </c>
      <c r="X32" s="10" t="str">
        <f t="shared" si="4"/>
        <v>萨丽麻橡胶底马蹄形麻纹香叶;60*90cm【强烈止滑;;升级加厚】【亚麻】</v>
      </c>
      <c r="Y32" s="10" t="s">
        <v>34</v>
      </c>
      <c r="Z32" s="10" t="s">
        <v>34</v>
      </c>
      <c r="AA32" s="10" t="str">
        <f t="shared" si="5"/>
        <v>萨丽麻橡胶底马蹄形麻纹香叶;60*90cm【强烈止滑;;升级加厚】【亚麻】</v>
      </c>
      <c r="AB32" s="10" t="str">
        <f t="shared" si="6"/>
        <v>3710544359748866</v>
      </c>
      <c r="AC32" s="10" t="s">
        <v>34</v>
      </c>
    </row>
    <row r="33" ht="15" spans="1:29">
      <c r="A33" s="10">
        <v>32</v>
      </c>
      <c r="B33" s="10" t="s">
        <v>29</v>
      </c>
      <c r="C33" s="10" t="s">
        <v>69</v>
      </c>
      <c r="D33" s="10" t="s">
        <v>70</v>
      </c>
      <c r="E33" s="10" t="s">
        <v>104</v>
      </c>
      <c r="F33" s="11" t="str" cm="1">
        <f t="array" ref="F33">_xlfn.IFS(ISNUMBER(FIND("硅藻",D33&amp;E33)),"硅藻泥",ISNUMBER(FIND("菠萝圈",D33&amp;E33)),"菠萝圈",AND(ISNUMBER(FIND("水晶绒",D33&amp;E33)),ISNUMBER(FIND("包边",D33&amp;E33))),"包边水晶绒",ISNUMBER(FIND("水晶绒",D33&amp;E33)),"水晶绒",ISNUMBER(FIND("天鹅绒",D33&amp;E33)),"天鹅绒",ISNUMBER(FIND("丝圈",D33&amp;E33)),"丝圈",ISNUMBER(FIND("仿羊绒",D33&amp;E33)),"仿羊绒",ISNUMBER(FIND("亚麻",D33&amp;E33)),"亚麻",ISNUMBER(FIND("皮革",D33&amp;E33)),"皮革",ISNUMBER(FIND("金钻绒",D33&amp;E33)),"金钻绒")</f>
        <v>亚麻</v>
      </c>
      <c r="G33" s="10" t="str">
        <f t="shared" si="0"/>
        <v>亚麻</v>
      </c>
      <c r="H33" s="11" t="str" cm="1">
        <f t="array" ref="H33">_wpsfn.REGEXP(_wpsfn.REGEXP(E33,"([至乘xX✖_\-])",2,"*"),"\d+\*\d+(?:[\*\+]\d+)*")</f>
        <v>40*60</v>
      </c>
      <c r="I33" s="10">
        <f t="shared" si="1"/>
        <v>0.24</v>
      </c>
      <c r="J33" s="10">
        <v>40</v>
      </c>
      <c r="K33" s="10">
        <v>60</v>
      </c>
      <c r="L33" s="10">
        <f t="shared" si="7"/>
        <v>0.3024</v>
      </c>
      <c r="M33" s="10">
        <f t="shared" si="8"/>
        <v>3.888</v>
      </c>
      <c r="N33" s="10"/>
      <c r="O33" s="10"/>
      <c r="P33" s="10" t="s">
        <v>72</v>
      </c>
      <c r="Q33" s="10" t="s">
        <v>73</v>
      </c>
      <c r="R33" s="10" t="s">
        <v>74</v>
      </c>
      <c r="S33" s="10" t="s">
        <v>105</v>
      </c>
      <c r="T33" s="10">
        <v>21.8</v>
      </c>
      <c r="U33" s="10" t="s">
        <v>37</v>
      </c>
      <c r="V33" s="10">
        <v>9999</v>
      </c>
      <c r="W33" s="10" t="s">
        <v>34</v>
      </c>
      <c r="X33" s="10" t="str">
        <f t="shared" si="4"/>
        <v>萨丽麻橡胶底方形麻纹香叶;40*60cm【吸水;;厂家直销】【亚麻】</v>
      </c>
      <c r="Y33" s="10" t="s">
        <v>34</v>
      </c>
      <c r="Z33" s="10" t="s">
        <v>34</v>
      </c>
      <c r="AA33" s="10" t="str">
        <f t="shared" si="5"/>
        <v>萨丽麻橡胶底方形麻纹香叶;40*60cm【吸水;;厂家直销】【亚麻】</v>
      </c>
      <c r="AB33" s="10" t="str">
        <f t="shared" si="6"/>
        <v>3710544359749122</v>
      </c>
      <c r="AC33" s="10" t="s">
        <v>34</v>
      </c>
    </row>
    <row r="34" ht="15" spans="1:29">
      <c r="A34" s="10">
        <v>33</v>
      </c>
      <c r="B34" s="10" t="s">
        <v>29</v>
      </c>
      <c r="C34" s="10" t="s">
        <v>69</v>
      </c>
      <c r="D34" s="10" t="s">
        <v>70</v>
      </c>
      <c r="E34" s="10" t="s">
        <v>106</v>
      </c>
      <c r="F34" s="11" t="str" cm="1">
        <f t="array" ref="F34">_xlfn.IFS(ISNUMBER(FIND("硅藻",D34&amp;E34)),"硅藻泥",ISNUMBER(FIND("菠萝圈",D34&amp;E34)),"菠萝圈",AND(ISNUMBER(FIND("水晶绒",D34&amp;E34)),ISNUMBER(FIND("包边",D34&amp;E34))),"包边水晶绒",ISNUMBER(FIND("水晶绒",D34&amp;E34)),"水晶绒",ISNUMBER(FIND("天鹅绒",D34&amp;E34)),"天鹅绒",ISNUMBER(FIND("丝圈",D34&amp;E34)),"丝圈",ISNUMBER(FIND("仿羊绒",D34&amp;E34)),"仿羊绒",ISNUMBER(FIND("亚麻",D34&amp;E34)),"亚麻",ISNUMBER(FIND("皮革",D34&amp;E34)),"皮革",ISNUMBER(FIND("金钻绒",D34&amp;E34)),"金钻绒")</f>
        <v>亚麻</v>
      </c>
      <c r="G34" s="10" t="str">
        <f t="shared" si="0"/>
        <v>亚麻</v>
      </c>
      <c r="H34" s="11" t="str" cm="1">
        <f t="array" ref="H34">_wpsfn.REGEXP(_wpsfn.REGEXP(E34,"([至乘xX✖_\-])",2,"*"),"\d+\*\d+(?:[\*\+]\d+)*")</f>
        <v>50*80</v>
      </c>
      <c r="I34" s="10">
        <f t="shared" si="1"/>
        <v>0.4</v>
      </c>
      <c r="J34" s="10">
        <v>50</v>
      </c>
      <c r="K34" s="10">
        <v>80</v>
      </c>
      <c r="L34" s="10">
        <f t="shared" si="7"/>
        <v>0.504</v>
      </c>
      <c r="M34" s="10">
        <f t="shared" si="8"/>
        <v>6.48</v>
      </c>
      <c r="N34" s="10"/>
      <c r="O34" s="10"/>
      <c r="P34" s="10" t="s">
        <v>72</v>
      </c>
      <c r="Q34" s="10" t="s">
        <v>73</v>
      </c>
      <c r="R34" s="10" t="s">
        <v>74</v>
      </c>
      <c r="S34" s="10" t="s">
        <v>107</v>
      </c>
      <c r="T34" s="10">
        <v>35.8</v>
      </c>
      <c r="U34" s="10" t="s">
        <v>37</v>
      </c>
      <c r="V34" s="10">
        <v>9999</v>
      </c>
      <c r="W34" s="10" t="s">
        <v>34</v>
      </c>
      <c r="X34" s="10" t="str">
        <f t="shared" si="4"/>
        <v>萨丽麻橡胶底方形麻纹香叶;50*80cm【Q弹舒适;;品质选择】【亚麻】</v>
      </c>
      <c r="Y34" s="10" t="s">
        <v>34</v>
      </c>
      <c r="Z34" s="10" t="s">
        <v>34</v>
      </c>
      <c r="AA34" s="10" t="str">
        <f t="shared" si="5"/>
        <v>萨丽麻橡胶底方形麻纹香叶;50*80cm【Q弹舒适;;品质选择】【亚麻】</v>
      </c>
      <c r="AB34" s="10" t="str">
        <f t="shared" si="6"/>
        <v>3710544359749378</v>
      </c>
      <c r="AC34" s="10" t="s">
        <v>34</v>
      </c>
    </row>
    <row r="35" ht="15" spans="1:29">
      <c r="A35" s="10">
        <v>34</v>
      </c>
      <c r="B35" s="10" t="s">
        <v>29</v>
      </c>
      <c r="C35" s="10" t="s">
        <v>69</v>
      </c>
      <c r="D35" s="10" t="s">
        <v>70</v>
      </c>
      <c r="E35" s="10" t="s">
        <v>108</v>
      </c>
      <c r="F35" s="11" t="str" cm="1">
        <f t="array" ref="F35">_xlfn.IFS(ISNUMBER(FIND("硅藻",D35&amp;E35)),"硅藻泥",ISNUMBER(FIND("菠萝圈",D35&amp;E35)),"菠萝圈",AND(ISNUMBER(FIND("水晶绒",D35&amp;E35)),ISNUMBER(FIND("包边",D35&amp;E35))),"包边水晶绒",ISNUMBER(FIND("水晶绒",D35&amp;E35)),"水晶绒",ISNUMBER(FIND("天鹅绒",D35&amp;E35)),"天鹅绒",ISNUMBER(FIND("丝圈",D35&amp;E35)),"丝圈",ISNUMBER(FIND("仿羊绒",D35&amp;E35)),"仿羊绒",ISNUMBER(FIND("亚麻",D35&amp;E35)),"亚麻",ISNUMBER(FIND("皮革",D35&amp;E35)),"皮革",ISNUMBER(FIND("金钻绒",D35&amp;E35)),"金钻绒")</f>
        <v>亚麻</v>
      </c>
      <c r="G35" s="10" t="str">
        <f t="shared" ref="G35:G66" si="9">F35</f>
        <v>亚麻</v>
      </c>
      <c r="H35" s="11" t="str" cm="1">
        <f t="array" ref="H35">_wpsfn.REGEXP(_wpsfn.REGEXP(E35,"([至乘xX✖_\-])",2,"*"),"\d+\*\d+(?:[\*\+]\d+)*")</f>
        <v>60*90</v>
      </c>
      <c r="I35" s="10">
        <f t="shared" ref="I35:I66" si="10">J35*K35/10000</f>
        <v>0.54</v>
      </c>
      <c r="J35" s="10">
        <v>60</v>
      </c>
      <c r="K35" s="10">
        <v>90</v>
      </c>
      <c r="L35" s="10">
        <f t="shared" si="7"/>
        <v>0.6804</v>
      </c>
      <c r="M35" s="10">
        <f t="shared" si="8"/>
        <v>8.748</v>
      </c>
      <c r="N35" s="10"/>
      <c r="O35" s="10"/>
      <c r="P35" s="10" t="s">
        <v>72</v>
      </c>
      <c r="Q35" s="10" t="s">
        <v>73</v>
      </c>
      <c r="R35" s="10" t="s">
        <v>74</v>
      </c>
      <c r="S35" s="10" t="s">
        <v>109</v>
      </c>
      <c r="T35" s="10">
        <v>43</v>
      </c>
      <c r="U35" s="10" t="s">
        <v>37</v>
      </c>
      <c r="V35" s="10">
        <v>9999</v>
      </c>
      <c r="W35" s="10" t="s">
        <v>34</v>
      </c>
      <c r="X35" s="10" t="str">
        <f t="shared" ref="X35:X66" si="11">E35</f>
        <v>萨丽麻橡胶底方形麻纹香叶;60*90cm【强烈止滑;;升级加厚】【亚麻】</v>
      </c>
      <c r="Y35" s="10" t="s">
        <v>34</v>
      </c>
      <c r="Z35" s="10" t="s">
        <v>34</v>
      </c>
      <c r="AA35" s="10" t="str">
        <f t="shared" ref="AA35:AA66" si="12">X35</f>
        <v>萨丽麻橡胶底方形麻纹香叶;60*90cm【强烈止滑;;升级加厚】【亚麻】</v>
      </c>
      <c r="AB35" s="10" t="str">
        <f t="shared" ref="AB35:AB66" si="13">S35</f>
        <v>3710544359749634</v>
      </c>
      <c r="AC35" s="10" t="s">
        <v>34</v>
      </c>
    </row>
    <row r="36" ht="15" spans="1:29">
      <c r="A36" s="10">
        <v>35</v>
      </c>
      <c r="B36" s="10" t="s">
        <v>29</v>
      </c>
      <c r="C36" s="10" t="s">
        <v>69</v>
      </c>
      <c r="D36" s="10" t="s">
        <v>70</v>
      </c>
      <c r="E36" s="10" t="s">
        <v>110</v>
      </c>
      <c r="F36" s="11" t="str" cm="1">
        <f t="array" ref="F36">_xlfn.IFS(ISNUMBER(FIND("硅藻",D36&amp;E36)),"硅藻泥",ISNUMBER(FIND("菠萝圈",D36&amp;E36)),"菠萝圈",AND(ISNUMBER(FIND("水晶绒",D36&amp;E36)),ISNUMBER(FIND("包边",D36&amp;E36))),"包边水晶绒",ISNUMBER(FIND("水晶绒",D36&amp;E36)),"水晶绒",ISNUMBER(FIND("天鹅绒",D36&amp;E36)),"天鹅绒",ISNUMBER(FIND("丝圈",D36&amp;E36)),"丝圈",ISNUMBER(FIND("仿羊绒",D36&amp;E36)),"仿羊绒",ISNUMBER(FIND("亚麻",D36&amp;E36)),"亚麻",ISNUMBER(FIND("皮革",D36&amp;E36)),"皮革",ISNUMBER(FIND("金钻绒",D36&amp;E36)),"金钻绒")</f>
        <v>亚麻</v>
      </c>
      <c r="G36" s="10" t="str">
        <f t="shared" si="9"/>
        <v>亚麻</v>
      </c>
      <c r="H36" s="11" t="str" cm="1">
        <f t="array" ref="H36">_wpsfn.REGEXP(_wpsfn.REGEXP(E36,"([至乘xX✖_\-])",2,"*"),"\d+\*\d+(?:[\*\+]\d+)*")</f>
        <v>40*60</v>
      </c>
      <c r="I36" s="10">
        <f t="shared" si="10"/>
        <v>0.24</v>
      </c>
      <c r="J36" s="10">
        <v>40</v>
      </c>
      <c r="K36" s="10">
        <v>60</v>
      </c>
      <c r="L36" s="10">
        <f t="shared" si="7"/>
        <v>0.3024</v>
      </c>
      <c r="M36" s="10">
        <f t="shared" si="8"/>
        <v>3.888</v>
      </c>
      <c r="N36" s="10"/>
      <c r="O36" s="10"/>
      <c r="P36" s="10" t="s">
        <v>72</v>
      </c>
      <c r="Q36" s="10" t="s">
        <v>73</v>
      </c>
      <c r="R36" s="10" t="s">
        <v>74</v>
      </c>
      <c r="S36" s="10" t="s">
        <v>111</v>
      </c>
      <c r="T36" s="10">
        <v>21.8</v>
      </c>
      <c r="U36" s="10" t="s">
        <v>37</v>
      </c>
      <c r="V36" s="10">
        <v>9999</v>
      </c>
      <c r="W36" s="10" t="s">
        <v>34</v>
      </c>
      <c r="X36" s="10" t="str">
        <f t="shared" si="11"/>
        <v>萨丽麻橡胶底马蹄形斑驳编织棕;40*60cm【吸水;;厂家直销】【亚麻】</v>
      </c>
      <c r="Y36" s="10" t="s">
        <v>34</v>
      </c>
      <c r="Z36" s="10" t="s">
        <v>34</v>
      </c>
      <c r="AA36" s="10" t="str">
        <f t="shared" si="12"/>
        <v>萨丽麻橡胶底马蹄形斑驳编织棕;40*60cm【吸水;;厂家直销】【亚麻】</v>
      </c>
      <c r="AB36" s="10" t="str">
        <f t="shared" si="13"/>
        <v>3710544359749890</v>
      </c>
      <c r="AC36" s="10" t="s">
        <v>34</v>
      </c>
    </row>
    <row r="37" ht="15" spans="1:29">
      <c r="A37" s="10">
        <v>36</v>
      </c>
      <c r="B37" s="10" t="s">
        <v>29</v>
      </c>
      <c r="C37" s="10" t="s">
        <v>69</v>
      </c>
      <c r="D37" s="10" t="s">
        <v>70</v>
      </c>
      <c r="E37" s="10" t="s">
        <v>112</v>
      </c>
      <c r="F37" s="11" t="str" cm="1">
        <f t="array" ref="F37">_xlfn.IFS(ISNUMBER(FIND("硅藻",D37&amp;E37)),"硅藻泥",ISNUMBER(FIND("菠萝圈",D37&amp;E37)),"菠萝圈",AND(ISNUMBER(FIND("水晶绒",D37&amp;E37)),ISNUMBER(FIND("包边",D37&amp;E37))),"包边水晶绒",ISNUMBER(FIND("水晶绒",D37&amp;E37)),"水晶绒",ISNUMBER(FIND("天鹅绒",D37&amp;E37)),"天鹅绒",ISNUMBER(FIND("丝圈",D37&amp;E37)),"丝圈",ISNUMBER(FIND("仿羊绒",D37&amp;E37)),"仿羊绒",ISNUMBER(FIND("亚麻",D37&amp;E37)),"亚麻",ISNUMBER(FIND("皮革",D37&amp;E37)),"皮革",ISNUMBER(FIND("金钻绒",D37&amp;E37)),"金钻绒")</f>
        <v>亚麻</v>
      </c>
      <c r="G37" s="10" t="str">
        <f t="shared" si="9"/>
        <v>亚麻</v>
      </c>
      <c r="H37" s="11" t="str" cm="1">
        <f t="array" ref="H37">_wpsfn.REGEXP(_wpsfn.REGEXP(E37,"([至乘xX✖_\-])",2,"*"),"\d+\*\d+(?:[\*\+]\d+)*")</f>
        <v>50*80</v>
      </c>
      <c r="I37" s="10">
        <f t="shared" si="10"/>
        <v>0.4</v>
      </c>
      <c r="J37" s="10">
        <v>50</v>
      </c>
      <c r="K37" s="10">
        <v>80</v>
      </c>
      <c r="L37" s="10">
        <f t="shared" si="7"/>
        <v>0.504</v>
      </c>
      <c r="M37" s="10">
        <f t="shared" si="8"/>
        <v>6.48</v>
      </c>
      <c r="N37" s="10"/>
      <c r="O37" s="10"/>
      <c r="P37" s="10" t="s">
        <v>72</v>
      </c>
      <c r="Q37" s="10" t="s">
        <v>73</v>
      </c>
      <c r="R37" s="10" t="s">
        <v>74</v>
      </c>
      <c r="S37" s="10" t="s">
        <v>113</v>
      </c>
      <c r="T37" s="10">
        <v>35.8</v>
      </c>
      <c r="U37" s="10" t="s">
        <v>37</v>
      </c>
      <c r="V37" s="10">
        <v>9999</v>
      </c>
      <c r="W37" s="10" t="s">
        <v>34</v>
      </c>
      <c r="X37" s="10" t="str">
        <f t="shared" si="11"/>
        <v>萨丽麻橡胶底马蹄形斑驳编织棕;50*80cm【Q弹舒适;;品质选择】【亚麻】</v>
      </c>
      <c r="Y37" s="10" t="s">
        <v>34</v>
      </c>
      <c r="Z37" s="10" t="s">
        <v>34</v>
      </c>
      <c r="AA37" s="10" t="str">
        <f t="shared" si="12"/>
        <v>萨丽麻橡胶底马蹄形斑驳编织棕;50*80cm【Q弹舒适;;品质选择】【亚麻】</v>
      </c>
      <c r="AB37" s="10" t="str">
        <f t="shared" si="13"/>
        <v>3710544359750146</v>
      </c>
      <c r="AC37" s="10" t="s">
        <v>34</v>
      </c>
    </row>
    <row r="38" ht="15" spans="1:29">
      <c r="A38" s="10">
        <v>37</v>
      </c>
      <c r="B38" s="10" t="s">
        <v>29</v>
      </c>
      <c r="C38" s="10" t="s">
        <v>69</v>
      </c>
      <c r="D38" s="10" t="s">
        <v>70</v>
      </c>
      <c r="E38" s="10" t="s">
        <v>114</v>
      </c>
      <c r="F38" s="11" t="str" cm="1">
        <f t="array" ref="F38">_xlfn.IFS(ISNUMBER(FIND("硅藻",D38&amp;E38)),"硅藻泥",ISNUMBER(FIND("菠萝圈",D38&amp;E38)),"菠萝圈",AND(ISNUMBER(FIND("水晶绒",D38&amp;E38)),ISNUMBER(FIND("包边",D38&amp;E38))),"包边水晶绒",ISNUMBER(FIND("水晶绒",D38&amp;E38)),"水晶绒",ISNUMBER(FIND("天鹅绒",D38&amp;E38)),"天鹅绒",ISNUMBER(FIND("丝圈",D38&amp;E38)),"丝圈",ISNUMBER(FIND("仿羊绒",D38&amp;E38)),"仿羊绒",ISNUMBER(FIND("亚麻",D38&amp;E38)),"亚麻",ISNUMBER(FIND("皮革",D38&amp;E38)),"皮革",ISNUMBER(FIND("金钻绒",D38&amp;E38)),"金钻绒")</f>
        <v>亚麻</v>
      </c>
      <c r="G38" s="10" t="str">
        <f t="shared" si="9"/>
        <v>亚麻</v>
      </c>
      <c r="H38" s="11" t="str" cm="1">
        <f t="array" ref="H38">_wpsfn.REGEXP(_wpsfn.REGEXP(E38,"([至乘xX✖_\-])",2,"*"),"\d+\*\d+(?:[\*\+]\d+)*")</f>
        <v>60*90</v>
      </c>
      <c r="I38" s="10">
        <f t="shared" si="10"/>
        <v>0.54</v>
      </c>
      <c r="J38" s="10">
        <v>60</v>
      </c>
      <c r="K38" s="10">
        <v>90</v>
      </c>
      <c r="L38" s="10">
        <f t="shared" si="7"/>
        <v>0.6804</v>
      </c>
      <c r="M38" s="10">
        <f t="shared" si="8"/>
        <v>8.748</v>
      </c>
      <c r="N38" s="10"/>
      <c r="O38" s="10"/>
      <c r="P38" s="10" t="s">
        <v>72</v>
      </c>
      <c r="Q38" s="10" t="s">
        <v>73</v>
      </c>
      <c r="R38" s="10" t="s">
        <v>74</v>
      </c>
      <c r="S38" s="10" t="s">
        <v>115</v>
      </c>
      <c r="T38" s="10">
        <v>43</v>
      </c>
      <c r="U38" s="10" t="s">
        <v>37</v>
      </c>
      <c r="V38" s="10">
        <v>9999</v>
      </c>
      <c r="W38" s="10" t="s">
        <v>34</v>
      </c>
      <c r="X38" s="10" t="str">
        <f t="shared" si="11"/>
        <v>萨丽麻橡胶底马蹄形斑驳编织棕;60*90cm【强烈止滑;;升级加厚】【亚麻】</v>
      </c>
      <c r="Y38" s="10" t="s">
        <v>34</v>
      </c>
      <c r="Z38" s="10" t="s">
        <v>34</v>
      </c>
      <c r="AA38" s="10" t="str">
        <f t="shared" si="12"/>
        <v>萨丽麻橡胶底马蹄形斑驳编织棕;60*90cm【强烈止滑;;升级加厚】【亚麻】</v>
      </c>
      <c r="AB38" s="10" t="str">
        <f t="shared" si="13"/>
        <v>3710544359750402</v>
      </c>
      <c r="AC38" s="10" t="s">
        <v>34</v>
      </c>
    </row>
    <row r="39" ht="15" spans="1:29">
      <c r="A39" s="10">
        <v>38</v>
      </c>
      <c r="B39" s="10" t="s">
        <v>29</v>
      </c>
      <c r="C39" s="10" t="s">
        <v>69</v>
      </c>
      <c r="D39" s="10" t="s">
        <v>70</v>
      </c>
      <c r="E39" s="10" t="s">
        <v>116</v>
      </c>
      <c r="F39" s="11" t="str" cm="1">
        <f t="array" ref="F39">_xlfn.IFS(ISNUMBER(FIND("硅藻",D39&amp;E39)),"硅藻泥",ISNUMBER(FIND("菠萝圈",D39&amp;E39)),"菠萝圈",AND(ISNUMBER(FIND("水晶绒",D39&amp;E39)),ISNUMBER(FIND("包边",D39&amp;E39))),"包边水晶绒",ISNUMBER(FIND("水晶绒",D39&amp;E39)),"水晶绒",ISNUMBER(FIND("天鹅绒",D39&amp;E39)),"天鹅绒",ISNUMBER(FIND("丝圈",D39&amp;E39)),"丝圈",ISNUMBER(FIND("仿羊绒",D39&amp;E39)),"仿羊绒",ISNUMBER(FIND("亚麻",D39&amp;E39)),"亚麻",ISNUMBER(FIND("皮革",D39&amp;E39)),"皮革",ISNUMBER(FIND("金钻绒",D39&amp;E39)),"金钻绒")</f>
        <v>亚麻</v>
      </c>
      <c r="G39" s="10" t="str">
        <f t="shared" si="9"/>
        <v>亚麻</v>
      </c>
      <c r="H39" s="11" t="str" cm="1">
        <f t="array" ref="H39">_wpsfn.REGEXP(_wpsfn.REGEXP(E39,"([至乘xX✖_\-])",2,"*"),"\d+\*\d+(?:[\*\+]\d+)*")</f>
        <v>40*60</v>
      </c>
      <c r="I39" s="10">
        <f t="shared" si="10"/>
        <v>0.24</v>
      </c>
      <c r="J39" s="10">
        <v>40</v>
      </c>
      <c r="K39" s="10">
        <v>60</v>
      </c>
      <c r="L39" s="10">
        <f t="shared" si="7"/>
        <v>0.3024</v>
      </c>
      <c r="M39" s="10">
        <f t="shared" si="8"/>
        <v>3.888</v>
      </c>
      <c r="N39" s="10"/>
      <c r="O39" s="10"/>
      <c r="P39" s="10" t="s">
        <v>72</v>
      </c>
      <c r="Q39" s="10" t="s">
        <v>73</v>
      </c>
      <c r="R39" s="10" t="s">
        <v>74</v>
      </c>
      <c r="S39" s="10" t="s">
        <v>117</v>
      </c>
      <c r="T39" s="10">
        <v>21.8</v>
      </c>
      <c r="U39" s="10" t="s">
        <v>37</v>
      </c>
      <c r="V39" s="10">
        <v>9999</v>
      </c>
      <c r="W39" s="10" t="s">
        <v>34</v>
      </c>
      <c r="X39" s="10" t="str">
        <f t="shared" si="11"/>
        <v>萨丽麻橡胶底马蹄形斑驳编织灰;40*60cm【吸水;;厂家直销】【亚麻】</v>
      </c>
      <c r="Y39" s="10" t="s">
        <v>34</v>
      </c>
      <c r="Z39" s="10" t="s">
        <v>34</v>
      </c>
      <c r="AA39" s="10" t="str">
        <f t="shared" si="12"/>
        <v>萨丽麻橡胶底马蹄形斑驳编织灰;40*60cm【吸水;;厂家直销】【亚麻】</v>
      </c>
      <c r="AB39" s="10" t="str">
        <f t="shared" si="13"/>
        <v>3710544359750658</v>
      </c>
      <c r="AC39" s="10" t="s">
        <v>34</v>
      </c>
    </row>
    <row r="40" ht="15" spans="1:29">
      <c r="A40" s="10">
        <v>39</v>
      </c>
      <c r="B40" s="10" t="s">
        <v>29</v>
      </c>
      <c r="C40" s="10" t="s">
        <v>69</v>
      </c>
      <c r="D40" s="10" t="s">
        <v>70</v>
      </c>
      <c r="E40" s="10" t="s">
        <v>118</v>
      </c>
      <c r="F40" s="11" t="str" cm="1">
        <f t="array" ref="F40">_xlfn.IFS(ISNUMBER(FIND("硅藻",D40&amp;E40)),"硅藻泥",ISNUMBER(FIND("菠萝圈",D40&amp;E40)),"菠萝圈",AND(ISNUMBER(FIND("水晶绒",D40&amp;E40)),ISNUMBER(FIND("包边",D40&amp;E40))),"包边水晶绒",ISNUMBER(FIND("水晶绒",D40&amp;E40)),"水晶绒",ISNUMBER(FIND("天鹅绒",D40&amp;E40)),"天鹅绒",ISNUMBER(FIND("丝圈",D40&amp;E40)),"丝圈",ISNUMBER(FIND("仿羊绒",D40&amp;E40)),"仿羊绒",ISNUMBER(FIND("亚麻",D40&amp;E40)),"亚麻",ISNUMBER(FIND("皮革",D40&amp;E40)),"皮革",ISNUMBER(FIND("金钻绒",D40&amp;E40)),"金钻绒")</f>
        <v>亚麻</v>
      </c>
      <c r="G40" s="10" t="str">
        <f t="shared" si="9"/>
        <v>亚麻</v>
      </c>
      <c r="H40" s="11" t="str" cm="1">
        <f t="array" ref="H40">_wpsfn.REGEXP(_wpsfn.REGEXP(E40,"([至乘xX✖_\-])",2,"*"),"\d+\*\d+(?:[\*\+]\d+)*")</f>
        <v>50*80</v>
      </c>
      <c r="I40" s="10">
        <f t="shared" si="10"/>
        <v>0.4</v>
      </c>
      <c r="J40" s="10">
        <v>50</v>
      </c>
      <c r="K40" s="10">
        <v>80</v>
      </c>
      <c r="L40" s="10">
        <f t="shared" si="7"/>
        <v>0.504</v>
      </c>
      <c r="M40" s="10">
        <f t="shared" si="8"/>
        <v>6.48</v>
      </c>
      <c r="N40" s="10"/>
      <c r="O40" s="10"/>
      <c r="P40" s="10" t="s">
        <v>72</v>
      </c>
      <c r="Q40" s="10" t="s">
        <v>73</v>
      </c>
      <c r="R40" s="10" t="s">
        <v>74</v>
      </c>
      <c r="S40" s="10" t="s">
        <v>119</v>
      </c>
      <c r="T40" s="10">
        <v>35.8</v>
      </c>
      <c r="U40" s="10" t="s">
        <v>37</v>
      </c>
      <c r="V40" s="10">
        <v>9999</v>
      </c>
      <c r="W40" s="10" t="s">
        <v>34</v>
      </c>
      <c r="X40" s="10" t="str">
        <f t="shared" si="11"/>
        <v>萨丽麻橡胶底马蹄形斑驳编织灰;50*80cm【Q弹舒适;;品质选择】【亚麻】</v>
      </c>
      <c r="Y40" s="10" t="s">
        <v>34</v>
      </c>
      <c r="Z40" s="10" t="s">
        <v>34</v>
      </c>
      <c r="AA40" s="10" t="str">
        <f t="shared" si="12"/>
        <v>萨丽麻橡胶底马蹄形斑驳编织灰;50*80cm【Q弹舒适;;品质选择】【亚麻】</v>
      </c>
      <c r="AB40" s="10" t="str">
        <f t="shared" si="13"/>
        <v>3710544359750914</v>
      </c>
      <c r="AC40" s="10" t="s">
        <v>34</v>
      </c>
    </row>
    <row r="41" ht="15" spans="1:29">
      <c r="A41" s="10">
        <v>40</v>
      </c>
      <c r="B41" s="10" t="s">
        <v>29</v>
      </c>
      <c r="C41" s="10" t="s">
        <v>69</v>
      </c>
      <c r="D41" s="10" t="s">
        <v>70</v>
      </c>
      <c r="E41" s="10" t="s">
        <v>120</v>
      </c>
      <c r="F41" s="11" t="str" cm="1">
        <f t="array" ref="F41">_xlfn.IFS(ISNUMBER(FIND("硅藻",D41&amp;E41)),"硅藻泥",ISNUMBER(FIND("菠萝圈",D41&amp;E41)),"菠萝圈",AND(ISNUMBER(FIND("水晶绒",D41&amp;E41)),ISNUMBER(FIND("包边",D41&amp;E41))),"包边水晶绒",ISNUMBER(FIND("水晶绒",D41&amp;E41)),"水晶绒",ISNUMBER(FIND("天鹅绒",D41&amp;E41)),"天鹅绒",ISNUMBER(FIND("丝圈",D41&amp;E41)),"丝圈",ISNUMBER(FIND("仿羊绒",D41&amp;E41)),"仿羊绒",ISNUMBER(FIND("亚麻",D41&amp;E41)),"亚麻",ISNUMBER(FIND("皮革",D41&amp;E41)),"皮革",ISNUMBER(FIND("金钻绒",D41&amp;E41)),"金钻绒")</f>
        <v>亚麻</v>
      </c>
      <c r="G41" s="10" t="str">
        <f t="shared" si="9"/>
        <v>亚麻</v>
      </c>
      <c r="H41" s="11" t="str" cm="1">
        <f t="array" ref="H41">_wpsfn.REGEXP(_wpsfn.REGEXP(E41,"([至乘xX✖_\-])",2,"*"),"\d+\*\d+(?:[\*\+]\d+)*")</f>
        <v>60*90</v>
      </c>
      <c r="I41" s="10">
        <f t="shared" si="10"/>
        <v>0.54</v>
      </c>
      <c r="J41" s="10">
        <v>60</v>
      </c>
      <c r="K41" s="10">
        <v>90</v>
      </c>
      <c r="L41" s="10">
        <f t="shared" si="7"/>
        <v>0.6804</v>
      </c>
      <c r="M41" s="10">
        <f t="shared" si="8"/>
        <v>8.748</v>
      </c>
      <c r="N41" s="10"/>
      <c r="O41" s="10"/>
      <c r="P41" s="10" t="s">
        <v>72</v>
      </c>
      <c r="Q41" s="10" t="s">
        <v>73</v>
      </c>
      <c r="R41" s="10" t="s">
        <v>74</v>
      </c>
      <c r="S41" s="10" t="s">
        <v>121</v>
      </c>
      <c r="T41" s="10">
        <v>43</v>
      </c>
      <c r="U41" s="10" t="s">
        <v>37</v>
      </c>
      <c r="V41" s="10">
        <v>9999</v>
      </c>
      <c r="W41" s="10" t="s">
        <v>34</v>
      </c>
      <c r="X41" s="10" t="str">
        <f t="shared" si="11"/>
        <v>萨丽麻橡胶底马蹄形斑驳编织灰;60*90cm【强烈止滑;;升级加厚】【亚麻】</v>
      </c>
      <c r="Y41" s="10" t="s">
        <v>34</v>
      </c>
      <c r="Z41" s="10" t="s">
        <v>34</v>
      </c>
      <c r="AA41" s="10" t="str">
        <f t="shared" si="12"/>
        <v>萨丽麻橡胶底马蹄形斑驳编织灰;60*90cm【强烈止滑;;升级加厚】【亚麻】</v>
      </c>
      <c r="AB41" s="10" t="str">
        <f t="shared" si="13"/>
        <v>3710544359751170</v>
      </c>
      <c r="AC41" s="10" t="s">
        <v>34</v>
      </c>
    </row>
    <row r="42" ht="15" spans="1:29">
      <c r="A42" s="10">
        <v>41</v>
      </c>
      <c r="B42" s="10" t="s">
        <v>29</v>
      </c>
      <c r="C42" s="10" t="s">
        <v>69</v>
      </c>
      <c r="D42" s="10" t="s">
        <v>70</v>
      </c>
      <c r="E42" s="10" t="s">
        <v>122</v>
      </c>
      <c r="F42" s="11" t="str" cm="1">
        <f t="array" ref="F42">_xlfn.IFS(ISNUMBER(FIND("硅藻",D42&amp;E42)),"硅藻泥",ISNUMBER(FIND("菠萝圈",D42&amp;E42)),"菠萝圈",AND(ISNUMBER(FIND("水晶绒",D42&amp;E42)),ISNUMBER(FIND("包边",D42&amp;E42))),"包边水晶绒",ISNUMBER(FIND("水晶绒",D42&amp;E42)),"水晶绒",ISNUMBER(FIND("天鹅绒",D42&amp;E42)),"天鹅绒",ISNUMBER(FIND("丝圈",D42&amp;E42)),"丝圈",ISNUMBER(FIND("仿羊绒",D42&amp;E42)),"仿羊绒",ISNUMBER(FIND("亚麻",D42&amp;E42)),"亚麻",ISNUMBER(FIND("皮革",D42&amp;E42)),"皮革",ISNUMBER(FIND("金钻绒",D42&amp;E42)),"金钻绒")</f>
        <v>亚麻</v>
      </c>
      <c r="G42" s="10" t="str">
        <f t="shared" si="9"/>
        <v>亚麻</v>
      </c>
      <c r="H42" s="11" t="str" cm="1">
        <f t="array" ref="H42">_wpsfn.REGEXP(_wpsfn.REGEXP(E42,"([至乘xX✖_\-])",2,"*"),"\d+\*\d+(?:[\*\+]\d+)*")</f>
        <v>40*60</v>
      </c>
      <c r="I42" s="10">
        <f t="shared" si="10"/>
        <v>0.24</v>
      </c>
      <c r="J42" s="10">
        <v>40</v>
      </c>
      <c r="K42" s="10">
        <v>60</v>
      </c>
      <c r="L42" s="10">
        <f t="shared" si="7"/>
        <v>0.3024</v>
      </c>
      <c r="M42" s="10">
        <f t="shared" si="8"/>
        <v>3.888</v>
      </c>
      <c r="N42" s="10"/>
      <c r="O42" s="10"/>
      <c r="P42" s="10" t="s">
        <v>72</v>
      </c>
      <c r="Q42" s="10" t="s">
        <v>73</v>
      </c>
      <c r="R42" s="10" t="s">
        <v>74</v>
      </c>
      <c r="S42" s="10" t="s">
        <v>123</v>
      </c>
      <c r="T42" s="10">
        <v>21.8</v>
      </c>
      <c r="U42" s="10" t="s">
        <v>37</v>
      </c>
      <c r="V42" s="10">
        <v>9999</v>
      </c>
      <c r="W42" s="10" t="s">
        <v>34</v>
      </c>
      <c r="X42" s="10" t="str">
        <f t="shared" si="11"/>
        <v>萨丽麻橡胶底马蹄形几何棕;40*60cm【吸水;;厂家直销】【亚麻】</v>
      </c>
      <c r="Y42" s="10" t="s">
        <v>34</v>
      </c>
      <c r="Z42" s="10" t="s">
        <v>34</v>
      </c>
      <c r="AA42" s="10" t="str">
        <f t="shared" si="12"/>
        <v>萨丽麻橡胶底马蹄形几何棕;40*60cm【吸水;;厂家直销】【亚麻】</v>
      </c>
      <c r="AB42" s="10" t="str">
        <f t="shared" si="13"/>
        <v>3710544359751426</v>
      </c>
      <c r="AC42" s="10" t="s">
        <v>34</v>
      </c>
    </row>
    <row r="43" ht="15" spans="1:29">
      <c r="A43" s="10">
        <v>42</v>
      </c>
      <c r="B43" s="10" t="s">
        <v>29</v>
      </c>
      <c r="C43" s="10" t="s">
        <v>69</v>
      </c>
      <c r="D43" s="10" t="s">
        <v>70</v>
      </c>
      <c r="E43" s="10" t="s">
        <v>124</v>
      </c>
      <c r="F43" s="11" t="str" cm="1">
        <f t="array" ref="F43">_xlfn.IFS(ISNUMBER(FIND("硅藻",D43&amp;E43)),"硅藻泥",ISNUMBER(FIND("菠萝圈",D43&amp;E43)),"菠萝圈",AND(ISNUMBER(FIND("水晶绒",D43&amp;E43)),ISNUMBER(FIND("包边",D43&amp;E43))),"包边水晶绒",ISNUMBER(FIND("水晶绒",D43&amp;E43)),"水晶绒",ISNUMBER(FIND("天鹅绒",D43&amp;E43)),"天鹅绒",ISNUMBER(FIND("丝圈",D43&amp;E43)),"丝圈",ISNUMBER(FIND("仿羊绒",D43&amp;E43)),"仿羊绒",ISNUMBER(FIND("亚麻",D43&amp;E43)),"亚麻",ISNUMBER(FIND("皮革",D43&amp;E43)),"皮革",ISNUMBER(FIND("金钻绒",D43&amp;E43)),"金钻绒")</f>
        <v>亚麻</v>
      </c>
      <c r="G43" s="10" t="str">
        <f t="shared" si="9"/>
        <v>亚麻</v>
      </c>
      <c r="H43" s="11" t="str" cm="1">
        <f t="array" ref="H43">_wpsfn.REGEXP(_wpsfn.REGEXP(E43,"([至乘xX✖_\-])",2,"*"),"\d+\*\d+(?:[\*\+]\d+)*")</f>
        <v>50*80</v>
      </c>
      <c r="I43" s="10">
        <f t="shared" si="10"/>
        <v>0.4</v>
      </c>
      <c r="J43" s="10">
        <v>50</v>
      </c>
      <c r="K43" s="10">
        <v>80</v>
      </c>
      <c r="L43" s="10">
        <f t="shared" si="7"/>
        <v>0.504</v>
      </c>
      <c r="M43" s="10">
        <f t="shared" si="8"/>
        <v>6.48</v>
      </c>
      <c r="N43" s="10"/>
      <c r="O43" s="10"/>
      <c r="P43" s="10" t="s">
        <v>72</v>
      </c>
      <c r="Q43" s="10" t="s">
        <v>73</v>
      </c>
      <c r="R43" s="10" t="s">
        <v>74</v>
      </c>
      <c r="S43" s="10" t="s">
        <v>125</v>
      </c>
      <c r="T43" s="10">
        <v>35.8</v>
      </c>
      <c r="U43" s="10" t="s">
        <v>37</v>
      </c>
      <c r="V43" s="10">
        <v>9999</v>
      </c>
      <c r="W43" s="10" t="s">
        <v>34</v>
      </c>
      <c r="X43" s="10" t="str">
        <f t="shared" si="11"/>
        <v>萨丽麻橡胶底马蹄形几何棕;50*80cm【Q弹舒适;;品质选择】【亚麻】</v>
      </c>
      <c r="Y43" s="10" t="s">
        <v>34</v>
      </c>
      <c r="Z43" s="10" t="s">
        <v>34</v>
      </c>
      <c r="AA43" s="10" t="str">
        <f t="shared" si="12"/>
        <v>萨丽麻橡胶底马蹄形几何棕;50*80cm【Q弹舒适;;品质选择】【亚麻】</v>
      </c>
      <c r="AB43" s="10" t="str">
        <f t="shared" si="13"/>
        <v>3710544359751682</v>
      </c>
      <c r="AC43" s="10" t="s">
        <v>34</v>
      </c>
    </row>
    <row r="44" ht="15" spans="1:29">
      <c r="A44" s="10">
        <v>43</v>
      </c>
      <c r="B44" s="10" t="s">
        <v>29</v>
      </c>
      <c r="C44" s="10" t="s">
        <v>69</v>
      </c>
      <c r="D44" s="10" t="s">
        <v>70</v>
      </c>
      <c r="E44" s="10" t="s">
        <v>126</v>
      </c>
      <c r="F44" s="11" t="str" cm="1">
        <f t="array" ref="F44">_xlfn.IFS(ISNUMBER(FIND("硅藻",D44&amp;E44)),"硅藻泥",ISNUMBER(FIND("菠萝圈",D44&amp;E44)),"菠萝圈",AND(ISNUMBER(FIND("水晶绒",D44&amp;E44)),ISNUMBER(FIND("包边",D44&amp;E44))),"包边水晶绒",ISNUMBER(FIND("水晶绒",D44&amp;E44)),"水晶绒",ISNUMBER(FIND("天鹅绒",D44&amp;E44)),"天鹅绒",ISNUMBER(FIND("丝圈",D44&amp;E44)),"丝圈",ISNUMBER(FIND("仿羊绒",D44&amp;E44)),"仿羊绒",ISNUMBER(FIND("亚麻",D44&amp;E44)),"亚麻",ISNUMBER(FIND("皮革",D44&amp;E44)),"皮革",ISNUMBER(FIND("金钻绒",D44&amp;E44)),"金钻绒")</f>
        <v>亚麻</v>
      </c>
      <c r="G44" s="10" t="str">
        <f t="shared" si="9"/>
        <v>亚麻</v>
      </c>
      <c r="H44" s="11" t="str" cm="1">
        <f t="array" ref="H44">_wpsfn.REGEXP(_wpsfn.REGEXP(E44,"([至乘xX✖_\-])",2,"*"),"\d+\*\d+(?:[\*\+]\d+)*")</f>
        <v>60*90</v>
      </c>
      <c r="I44" s="10">
        <f t="shared" si="10"/>
        <v>0.54</v>
      </c>
      <c r="J44" s="10">
        <v>60</v>
      </c>
      <c r="K44" s="10">
        <v>90</v>
      </c>
      <c r="L44" s="10">
        <f t="shared" si="7"/>
        <v>0.6804</v>
      </c>
      <c r="M44" s="10">
        <f t="shared" si="8"/>
        <v>8.748</v>
      </c>
      <c r="N44" s="10"/>
      <c r="O44" s="10"/>
      <c r="P44" s="10" t="s">
        <v>72</v>
      </c>
      <c r="Q44" s="10" t="s">
        <v>73</v>
      </c>
      <c r="R44" s="10" t="s">
        <v>74</v>
      </c>
      <c r="S44" s="10" t="s">
        <v>127</v>
      </c>
      <c r="T44" s="10">
        <v>43</v>
      </c>
      <c r="U44" s="10" t="s">
        <v>37</v>
      </c>
      <c r="V44" s="10">
        <v>9999</v>
      </c>
      <c r="W44" s="10" t="s">
        <v>34</v>
      </c>
      <c r="X44" s="10" t="str">
        <f t="shared" si="11"/>
        <v>萨丽麻橡胶底马蹄形几何棕;60*90cm【强烈止滑;;升级加厚】【亚麻】</v>
      </c>
      <c r="Y44" s="10" t="s">
        <v>34</v>
      </c>
      <c r="Z44" s="10" t="s">
        <v>34</v>
      </c>
      <c r="AA44" s="10" t="str">
        <f t="shared" si="12"/>
        <v>萨丽麻橡胶底马蹄形几何棕;60*90cm【强烈止滑;;升级加厚】【亚麻】</v>
      </c>
      <c r="AB44" s="10" t="str">
        <f t="shared" si="13"/>
        <v>3710544359751938</v>
      </c>
      <c r="AC44" s="10" t="s">
        <v>34</v>
      </c>
    </row>
    <row r="45" ht="15" spans="1:29">
      <c r="A45" s="10">
        <v>44</v>
      </c>
      <c r="B45" s="10" t="s">
        <v>29</v>
      </c>
      <c r="C45" s="10" t="s">
        <v>69</v>
      </c>
      <c r="D45" s="10" t="s">
        <v>70</v>
      </c>
      <c r="E45" s="10" t="s">
        <v>128</v>
      </c>
      <c r="F45" s="11" t="str" cm="1">
        <f t="array" ref="F45">_xlfn.IFS(ISNUMBER(FIND("硅藻",D45&amp;E45)),"硅藻泥",ISNUMBER(FIND("菠萝圈",D45&amp;E45)),"菠萝圈",AND(ISNUMBER(FIND("水晶绒",D45&amp;E45)),ISNUMBER(FIND("包边",D45&amp;E45))),"包边水晶绒",ISNUMBER(FIND("水晶绒",D45&amp;E45)),"水晶绒",ISNUMBER(FIND("天鹅绒",D45&amp;E45)),"天鹅绒",ISNUMBER(FIND("丝圈",D45&amp;E45)),"丝圈",ISNUMBER(FIND("仿羊绒",D45&amp;E45)),"仿羊绒",ISNUMBER(FIND("亚麻",D45&amp;E45)),"亚麻",ISNUMBER(FIND("皮革",D45&amp;E45)),"皮革",ISNUMBER(FIND("金钻绒",D45&amp;E45)),"金钻绒")</f>
        <v>亚麻</v>
      </c>
      <c r="G45" s="10" t="str">
        <f t="shared" si="9"/>
        <v>亚麻</v>
      </c>
      <c r="H45" s="11" t="str" cm="1">
        <f t="array" ref="H45">_wpsfn.REGEXP(_wpsfn.REGEXP(E45,"([至乘xX✖_\-])",2,"*"),"\d+\*\d+(?:[\*\+]\d+)*")</f>
        <v>40*60</v>
      </c>
      <c r="I45" s="10">
        <f t="shared" si="10"/>
        <v>0.24</v>
      </c>
      <c r="J45" s="10">
        <v>40</v>
      </c>
      <c r="K45" s="10">
        <v>60</v>
      </c>
      <c r="L45" s="10">
        <f t="shared" si="7"/>
        <v>0.3024</v>
      </c>
      <c r="M45" s="10">
        <f t="shared" si="8"/>
        <v>3.888</v>
      </c>
      <c r="N45" s="10"/>
      <c r="O45" s="10"/>
      <c r="P45" s="10" t="s">
        <v>72</v>
      </c>
      <c r="Q45" s="10" t="s">
        <v>73</v>
      </c>
      <c r="R45" s="10" t="s">
        <v>74</v>
      </c>
      <c r="S45" s="10" t="s">
        <v>129</v>
      </c>
      <c r="T45" s="10">
        <v>21.8</v>
      </c>
      <c r="U45" s="10" t="s">
        <v>37</v>
      </c>
      <c r="V45" s="10">
        <v>9999</v>
      </c>
      <c r="W45" s="10" t="s">
        <v>34</v>
      </c>
      <c r="X45" s="10" t="str">
        <f t="shared" si="11"/>
        <v>萨丽麻橡胶底马蹄形几何灰;40*60cm【吸水;;厂家直销】【亚麻】</v>
      </c>
      <c r="Y45" s="10" t="s">
        <v>34</v>
      </c>
      <c r="Z45" s="10" t="s">
        <v>34</v>
      </c>
      <c r="AA45" s="10" t="str">
        <f t="shared" si="12"/>
        <v>萨丽麻橡胶底马蹄形几何灰;40*60cm【吸水;;厂家直销】【亚麻】</v>
      </c>
      <c r="AB45" s="10" t="str">
        <f t="shared" si="13"/>
        <v>3710544359752194</v>
      </c>
      <c r="AC45" s="10" t="s">
        <v>34</v>
      </c>
    </row>
    <row r="46" ht="15" spans="1:29">
      <c r="A46" s="10">
        <v>45</v>
      </c>
      <c r="B46" s="10" t="s">
        <v>29</v>
      </c>
      <c r="C46" s="10" t="s">
        <v>69</v>
      </c>
      <c r="D46" s="10" t="s">
        <v>70</v>
      </c>
      <c r="E46" s="10" t="s">
        <v>130</v>
      </c>
      <c r="F46" s="11" t="str" cm="1">
        <f t="array" ref="F46">_xlfn.IFS(ISNUMBER(FIND("硅藻",D46&amp;E46)),"硅藻泥",ISNUMBER(FIND("菠萝圈",D46&amp;E46)),"菠萝圈",AND(ISNUMBER(FIND("水晶绒",D46&amp;E46)),ISNUMBER(FIND("包边",D46&amp;E46))),"包边水晶绒",ISNUMBER(FIND("水晶绒",D46&amp;E46)),"水晶绒",ISNUMBER(FIND("天鹅绒",D46&amp;E46)),"天鹅绒",ISNUMBER(FIND("丝圈",D46&amp;E46)),"丝圈",ISNUMBER(FIND("仿羊绒",D46&amp;E46)),"仿羊绒",ISNUMBER(FIND("亚麻",D46&amp;E46)),"亚麻",ISNUMBER(FIND("皮革",D46&amp;E46)),"皮革",ISNUMBER(FIND("金钻绒",D46&amp;E46)),"金钻绒")</f>
        <v>亚麻</v>
      </c>
      <c r="G46" s="10" t="str">
        <f t="shared" si="9"/>
        <v>亚麻</v>
      </c>
      <c r="H46" s="11" t="str" cm="1">
        <f t="array" ref="H46">_wpsfn.REGEXP(_wpsfn.REGEXP(E46,"([至乘xX✖_\-])",2,"*"),"\d+\*\d+(?:[\*\+]\d+)*")</f>
        <v>50*80</v>
      </c>
      <c r="I46" s="10">
        <f t="shared" si="10"/>
        <v>0.4</v>
      </c>
      <c r="J46" s="10">
        <v>50</v>
      </c>
      <c r="K46" s="10">
        <v>80</v>
      </c>
      <c r="L46" s="10">
        <f t="shared" si="7"/>
        <v>0.504</v>
      </c>
      <c r="M46" s="10">
        <f t="shared" si="8"/>
        <v>6.48</v>
      </c>
      <c r="N46" s="10"/>
      <c r="O46" s="10"/>
      <c r="P46" s="10" t="s">
        <v>72</v>
      </c>
      <c r="Q46" s="10" t="s">
        <v>73</v>
      </c>
      <c r="R46" s="10" t="s">
        <v>74</v>
      </c>
      <c r="S46" s="10" t="s">
        <v>131</v>
      </c>
      <c r="T46" s="10">
        <v>35.8</v>
      </c>
      <c r="U46" s="10" t="s">
        <v>37</v>
      </c>
      <c r="V46" s="10">
        <v>9999</v>
      </c>
      <c r="W46" s="10" t="s">
        <v>34</v>
      </c>
      <c r="X46" s="10" t="str">
        <f t="shared" si="11"/>
        <v>萨丽麻橡胶底马蹄形几何灰;50*80cm【Q弹舒适;;品质选择】【亚麻】</v>
      </c>
      <c r="Y46" s="10" t="s">
        <v>34</v>
      </c>
      <c r="Z46" s="10" t="s">
        <v>34</v>
      </c>
      <c r="AA46" s="10" t="str">
        <f t="shared" si="12"/>
        <v>萨丽麻橡胶底马蹄形几何灰;50*80cm【Q弹舒适;;品质选择】【亚麻】</v>
      </c>
      <c r="AB46" s="10" t="str">
        <f t="shared" si="13"/>
        <v>3710544359752450</v>
      </c>
      <c r="AC46" s="10" t="s">
        <v>34</v>
      </c>
    </row>
    <row r="47" ht="15" spans="1:29">
      <c r="A47" s="10">
        <v>46</v>
      </c>
      <c r="B47" s="10" t="s">
        <v>29</v>
      </c>
      <c r="C47" s="10" t="s">
        <v>69</v>
      </c>
      <c r="D47" s="10" t="s">
        <v>70</v>
      </c>
      <c r="E47" s="10" t="s">
        <v>132</v>
      </c>
      <c r="F47" s="11" t="str" cm="1">
        <f t="array" ref="F47">_xlfn.IFS(ISNUMBER(FIND("硅藻",D47&amp;E47)),"硅藻泥",ISNUMBER(FIND("菠萝圈",D47&amp;E47)),"菠萝圈",AND(ISNUMBER(FIND("水晶绒",D47&amp;E47)),ISNUMBER(FIND("包边",D47&amp;E47))),"包边水晶绒",ISNUMBER(FIND("水晶绒",D47&amp;E47)),"水晶绒",ISNUMBER(FIND("天鹅绒",D47&amp;E47)),"天鹅绒",ISNUMBER(FIND("丝圈",D47&amp;E47)),"丝圈",ISNUMBER(FIND("仿羊绒",D47&amp;E47)),"仿羊绒",ISNUMBER(FIND("亚麻",D47&amp;E47)),"亚麻",ISNUMBER(FIND("皮革",D47&amp;E47)),"皮革",ISNUMBER(FIND("金钻绒",D47&amp;E47)),"金钻绒")</f>
        <v>亚麻</v>
      </c>
      <c r="G47" s="10" t="str">
        <f t="shared" si="9"/>
        <v>亚麻</v>
      </c>
      <c r="H47" s="11" t="str" cm="1">
        <f t="array" ref="H47">_wpsfn.REGEXP(_wpsfn.REGEXP(E47,"([至乘xX✖_\-])",2,"*"),"\d+\*\d+(?:[\*\+]\d+)*")</f>
        <v>60*90</v>
      </c>
      <c r="I47" s="10">
        <f t="shared" si="10"/>
        <v>0.54</v>
      </c>
      <c r="J47" s="10">
        <v>60</v>
      </c>
      <c r="K47" s="10">
        <v>90</v>
      </c>
      <c r="L47" s="10">
        <f t="shared" si="7"/>
        <v>0.6804</v>
      </c>
      <c r="M47" s="10">
        <f t="shared" si="8"/>
        <v>8.748</v>
      </c>
      <c r="N47" s="10"/>
      <c r="O47" s="10"/>
      <c r="P47" s="10" t="s">
        <v>72</v>
      </c>
      <c r="Q47" s="10" t="s">
        <v>73</v>
      </c>
      <c r="R47" s="10" t="s">
        <v>74</v>
      </c>
      <c r="S47" s="10" t="s">
        <v>133</v>
      </c>
      <c r="T47" s="10">
        <v>43</v>
      </c>
      <c r="U47" s="10" t="s">
        <v>37</v>
      </c>
      <c r="V47" s="10">
        <v>9999</v>
      </c>
      <c r="W47" s="10" t="s">
        <v>34</v>
      </c>
      <c r="X47" s="10" t="str">
        <f t="shared" si="11"/>
        <v>萨丽麻橡胶底马蹄形几何灰;60*90cm【强烈止滑;;升级加厚】【亚麻】</v>
      </c>
      <c r="Y47" s="10" t="s">
        <v>34</v>
      </c>
      <c r="Z47" s="10" t="s">
        <v>34</v>
      </c>
      <c r="AA47" s="10" t="str">
        <f t="shared" si="12"/>
        <v>萨丽麻橡胶底马蹄形几何灰;60*90cm【强烈止滑;;升级加厚】【亚麻】</v>
      </c>
      <c r="AB47" s="10" t="str">
        <f t="shared" si="13"/>
        <v>3710544359752706</v>
      </c>
      <c r="AC47" s="10" t="s">
        <v>34</v>
      </c>
    </row>
    <row r="48" ht="15" spans="1:29">
      <c r="A48" s="10">
        <v>47</v>
      </c>
      <c r="B48" s="10" t="s">
        <v>29</v>
      </c>
      <c r="C48" s="10" t="s">
        <v>69</v>
      </c>
      <c r="D48" s="10" t="s">
        <v>70</v>
      </c>
      <c r="E48" s="10" t="s">
        <v>134</v>
      </c>
      <c r="F48" s="11" t="str" cm="1">
        <f t="array" ref="F48">_xlfn.IFS(ISNUMBER(FIND("硅藻",D48&amp;E48)),"硅藻泥",ISNUMBER(FIND("菠萝圈",D48&amp;E48)),"菠萝圈",AND(ISNUMBER(FIND("水晶绒",D48&amp;E48)),ISNUMBER(FIND("包边",D48&amp;E48))),"包边水晶绒",ISNUMBER(FIND("水晶绒",D48&amp;E48)),"水晶绒",ISNUMBER(FIND("天鹅绒",D48&amp;E48)),"天鹅绒",ISNUMBER(FIND("丝圈",D48&amp;E48)),"丝圈",ISNUMBER(FIND("仿羊绒",D48&amp;E48)),"仿羊绒",ISNUMBER(FIND("亚麻",D48&amp;E48)),"亚麻",ISNUMBER(FIND("皮革",D48&amp;E48)),"皮革",ISNUMBER(FIND("金钻绒",D48&amp;E48)),"金钻绒")</f>
        <v>亚麻</v>
      </c>
      <c r="G48" s="10" t="str">
        <f t="shared" si="9"/>
        <v>亚麻</v>
      </c>
      <c r="H48" s="11" t="str" cm="1">
        <f t="array" ref="H48">_wpsfn.REGEXP(_wpsfn.REGEXP(E48,"([至乘xX✖_\-])",2,"*"),"\d+\*\d+(?:[\*\+]\d+)*")</f>
        <v>40*60</v>
      </c>
      <c r="I48" s="10">
        <f t="shared" si="10"/>
        <v>0.24</v>
      </c>
      <c r="J48" s="10">
        <v>40</v>
      </c>
      <c r="K48" s="10">
        <v>60</v>
      </c>
      <c r="L48" s="10">
        <f t="shared" si="7"/>
        <v>0.3024</v>
      </c>
      <c r="M48" s="10">
        <f t="shared" si="8"/>
        <v>3.888</v>
      </c>
      <c r="N48" s="10"/>
      <c r="O48" s="10"/>
      <c r="P48" s="10" t="s">
        <v>72</v>
      </c>
      <c r="Q48" s="10" t="s">
        <v>73</v>
      </c>
      <c r="R48" s="10" t="s">
        <v>74</v>
      </c>
      <c r="S48" s="10" t="s">
        <v>135</v>
      </c>
      <c r="T48" s="10">
        <v>21.8</v>
      </c>
      <c r="U48" s="10" t="s">
        <v>37</v>
      </c>
      <c r="V48" s="10">
        <v>9999</v>
      </c>
      <c r="W48" s="10" t="s">
        <v>34</v>
      </c>
      <c r="X48" s="10" t="str">
        <f t="shared" si="11"/>
        <v>萨丽麻橡胶底马蹄形沐然方格棕;40*60cm【吸水;;厂家直销】【亚麻】</v>
      </c>
      <c r="Y48" s="10" t="s">
        <v>34</v>
      </c>
      <c r="Z48" s="10" t="s">
        <v>34</v>
      </c>
      <c r="AA48" s="10" t="str">
        <f t="shared" si="12"/>
        <v>萨丽麻橡胶底马蹄形沐然方格棕;40*60cm【吸水;;厂家直销】【亚麻】</v>
      </c>
      <c r="AB48" s="10" t="str">
        <f t="shared" si="13"/>
        <v>3710544359752962</v>
      </c>
      <c r="AC48" s="10" t="s">
        <v>34</v>
      </c>
    </row>
    <row r="49" ht="15" spans="1:29">
      <c r="A49" s="10">
        <v>48</v>
      </c>
      <c r="B49" s="10" t="s">
        <v>29</v>
      </c>
      <c r="C49" s="10" t="s">
        <v>69</v>
      </c>
      <c r="D49" s="10" t="s">
        <v>70</v>
      </c>
      <c r="E49" s="10" t="s">
        <v>136</v>
      </c>
      <c r="F49" s="11" t="str" cm="1">
        <f t="array" ref="F49">_xlfn.IFS(ISNUMBER(FIND("硅藻",D49&amp;E49)),"硅藻泥",ISNUMBER(FIND("菠萝圈",D49&amp;E49)),"菠萝圈",AND(ISNUMBER(FIND("水晶绒",D49&amp;E49)),ISNUMBER(FIND("包边",D49&amp;E49))),"包边水晶绒",ISNUMBER(FIND("水晶绒",D49&amp;E49)),"水晶绒",ISNUMBER(FIND("天鹅绒",D49&amp;E49)),"天鹅绒",ISNUMBER(FIND("丝圈",D49&amp;E49)),"丝圈",ISNUMBER(FIND("仿羊绒",D49&amp;E49)),"仿羊绒",ISNUMBER(FIND("亚麻",D49&amp;E49)),"亚麻",ISNUMBER(FIND("皮革",D49&amp;E49)),"皮革",ISNUMBER(FIND("金钻绒",D49&amp;E49)),"金钻绒")</f>
        <v>亚麻</v>
      </c>
      <c r="G49" s="10" t="str">
        <f t="shared" si="9"/>
        <v>亚麻</v>
      </c>
      <c r="H49" s="11" t="str" cm="1">
        <f t="array" ref="H49">_wpsfn.REGEXP(_wpsfn.REGEXP(E49,"([至乘xX✖_\-])",2,"*"),"\d+\*\d+(?:[\*\+]\d+)*")</f>
        <v>50*80</v>
      </c>
      <c r="I49" s="10">
        <f t="shared" si="10"/>
        <v>0.4</v>
      </c>
      <c r="J49" s="10">
        <v>50</v>
      </c>
      <c r="K49" s="10">
        <v>80</v>
      </c>
      <c r="L49" s="10">
        <f t="shared" si="7"/>
        <v>0.504</v>
      </c>
      <c r="M49" s="10">
        <f t="shared" si="8"/>
        <v>6.48</v>
      </c>
      <c r="N49" s="10"/>
      <c r="O49" s="10"/>
      <c r="P49" s="10" t="s">
        <v>72</v>
      </c>
      <c r="Q49" s="10" t="s">
        <v>73</v>
      </c>
      <c r="R49" s="10" t="s">
        <v>74</v>
      </c>
      <c r="S49" s="10" t="s">
        <v>137</v>
      </c>
      <c r="T49" s="10">
        <v>35.8</v>
      </c>
      <c r="U49" s="10" t="s">
        <v>37</v>
      </c>
      <c r="V49" s="10">
        <v>9999</v>
      </c>
      <c r="W49" s="10" t="s">
        <v>34</v>
      </c>
      <c r="X49" s="10" t="str">
        <f t="shared" si="11"/>
        <v>萨丽麻橡胶底马蹄形沐然方格棕;50*80cm【Q弹舒适;;品质选择】【亚麻】</v>
      </c>
      <c r="Y49" s="10" t="s">
        <v>34</v>
      </c>
      <c r="Z49" s="10" t="s">
        <v>34</v>
      </c>
      <c r="AA49" s="10" t="str">
        <f t="shared" si="12"/>
        <v>萨丽麻橡胶底马蹄形沐然方格棕;50*80cm【Q弹舒适;;品质选择】【亚麻】</v>
      </c>
      <c r="AB49" s="10" t="str">
        <f t="shared" si="13"/>
        <v>3710544359753218</v>
      </c>
      <c r="AC49" s="10" t="s">
        <v>34</v>
      </c>
    </row>
    <row r="50" ht="15" spans="1:29">
      <c r="A50" s="10">
        <v>49</v>
      </c>
      <c r="B50" s="10" t="s">
        <v>29</v>
      </c>
      <c r="C50" s="10" t="s">
        <v>69</v>
      </c>
      <c r="D50" s="10" t="s">
        <v>70</v>
      </c>
      <c r="E50" s="10" t="s">
        <v>138</v>
      </c>
      <c r="F50" s="11" t="str" cm="1">
        <f t="array" ref="F50">_xlfn.IFS(ISNUMBER(FIND("硅藻",D50&amp;E50)),"硅藻泥",ISNUMBER(FIND("菠萝圈",D50&amp;E50)),"菠萝圈",AND(ISNUMBER(FIND("水晶绒",D50&amp;E50)),ISNUMBER(FIND("包边",D50&amp;E50))),"包边水晶绒",ISNUMBER(FIND("水晶绒",D50&amp;E50)),"水晶绒",ISNUMBER(FIND("天鹅绒",D50&amp;E50)),"天鹅绒",ISNUMBER(FIND("丝圈",D50&amp;E50)),"丝圈",ISNUMBER(FIND("仿羊绒",D50&amp;E50)),"仿羊绒",ISNUMBER(FIND("亚麻",D50&amp;E50)),"亚麻",ISNUMBER(FIND("皮革",D50&amp;E50)),"皮革",ISNUMBER(FIND("金钻绒",D50&amp;E50)),"金钻绒")</f>
        <v>亚麻</v>
      </c>
      <c r="G50" s="10" t="str">
        <f t="shared" si="9"/>
        <v>亚麻</v>
      </c>
      <c r="H50" s="11" t="str" cm="1">
        <f t="array" ref="H50">_wpsfn.REGEXP(_wpsfn.REGEXP(E50,"([至乘xX✖_\-])",2,"*"),"\d+\*\d+(?:[\*\+]\d+)*")</f>
        <v>60*90</v>
      </c>
      <c r="I50" s="10">
        <f t="shared" si="10"/>
        <v>0.54</v>
      </c>
      <c r="J50" s="10">
        <v>60</v>
      </c>
      <c r="K50" s="10">
        <v>90</v>
      </c>
      <c r="L50" s="10">
        <f t="shared" si="7"/>
        <v>0.6804</v>
      </c>
      <c r="M50" s="10">
        <f t="shared" si="8"/>
        <v>8.748</v>
      </c>
      <c r="N50" s="10"/>
      <c r="O50" s="10"/>
      <c r="P50" s="10" t="s">
        <v>72</v>
      </c>
      <c r="Q50" s="10" t="s">
        <v>73</v>
      </c>
      <c r="R50" s="10" t="s">
        <v>74</v>
      </c>
      <c r="S50" s="10" t="s">
        <v>139</v>
      </c>
      <c r="T50" s="10">
        <v>43</v>
      </c>
      <c r="U50" s="10" t="s">
        <v>37</v>
      </c>
      <c r="V50" s="10">
        <v>9999</v>
      </c>
      <c r="W50" s="10" t="s">
        <v>34</v>
      </c>
      <c r="X50" s="10" t="str">
        <f t="shared" si="11"/>
        <v>萨丽麻橡胶底马蹄形沐然方格棕;60*90cm【强烈止滑;;升级加厚】【亚麻】</v>
      </c>
      <c r="Y50" s="10" t="s">
        <v>34</v>
      </c>
      <c r="Z50" s="10" t="s">
        <v>34</v>
      </c>
      <c r="AA50" s="10" t="str">
        <f t="shared" si="12"/>
        <v>萨丽麻橡胶底马蹄形沐然方格棕;60*90cm【强烈止滑;;升级加厚】【亚麻】</v>
      </c>
      <c r="AB50" s="10" t="str">
        <f t="shared" si="13"/>
        <v>3710544359753474</v>
      </c>
      <c r="AC50" s="10" t="s">
        <v>34</v>
      </c>
    </row>
    <row r="51" ht="15" spans="1:29">
      <c r="A51" s="10">
        <v>50</v>
      </c>
      <c r="B51" s="10" t="s">
        <v>29</v>
      </c>
      <c r="C51" s="10" t="s">
        <v>69</v>
      </c>
      <c r="D51" s="10" t="s">
        <v>70</v>
      </c>
      <c r="E51" s="10" t="s">
        <v>140</v>
      </c>
      <c r="F51" s="11" t="str" cm="1">
        <f t="array" ref="F51">_xlfn.IFS(ISNUMBER(FIND("硅藻",D51&amp;E51)),"硅藻泥",ISNUMBER(FIND("菠萝圈",D51&amp;E51)),"菠萝圈",AND(ISNUMBER(FIND("水晶绒",D51&amp;E51)),ISNUMBER(FIND("包边",D51&amp;E51))),"包边水晶绒",ISNUMBER(FIND("水晶绒",D51&amp;E51)),"水晶绒",ISNUMBER(FIND("天鹅绒",D51&amp;E51)),"天鹅绒",ISNUMBER(FIND("丝圈",D51&amp;E51)),"丝圈",ISNUMBER(FIND("仿羊绒",D51&amp;E51)),"仿羊绒",ISNUMBER(FIND("亚麻",D51&amp;E51)),"亚麻",ISNUMBER(FIND("皮革",D51&amp;E51)),"皮革",ISNUMBER(FIND("金钻绒",D51&amp;E51)),"金钻绒")</f>
        <v>亚麻</v>
      </c>
      <c r="G51" s="10" t="str">
        <f t="shared" si="9"/>
        <v>亚麻</v>
      </c>
      <c r="H51" s="11" t="str" cm="1">
        <f t="array" ref="H51">_wpsfn.REGEXP(_wpsfn.REGEXP(E51,"([至乘xX✖_\-])",2,"*"),"\d+\*\d+(?:[\*\+]\d+)*")</f>
        <v>40*60</v>
      </c>
      <c r="I51" s="10">
        <f t="shared" si="10"/>
        <v>0.24</v>
      </c>
      <c r="J51" s="10">
        <v>40</v>
      </c>
      <c r="K51" s="10">
        <v>60</v>
      </c>
      <c r="L51" s="10">
        <f t="shared" ref="L51:L82" si="14">1.26*I51</f>
        <v>0.3024</v>
      </c>
      <c r="M51" s="10">
        <f t="shared" ref="M51:M82" si="15">16.2*I51</f>
        <v>3.888</v>
      </c>
      <c r="N51" s="10"/>
      <c r="O51" s="10"/>
      <c r="P51" s="10" t="s">
        <v>72</v>
      </c>
      <c r="Q51" s="10" t="s">
        <v>73</v>
      </c>
      <c r="R51" s="10" t="s">
        <v>74</v>
      </c>
      <c r="S51" s="10" t="s">
        <v>141</v>
      </c>
      <c r="T51" s="10">
        <v>21.8</v>
      </c>
      <c r="U51" s="10" t="s">
        <v>37</v>
      </c>
      <c r="V51" s="10">
        <v>9999</v>
      </c>
      <c r="W51" s="10" t="s">
        <v>34</v>
      </c>
      <c r="X51" s="10" t="str">
        <f t="shared" si="11"/>
        <v>萨丽麻橡胶底马蹄形沐然方格灰;40*60cm【吸水;;厂家直销】【亚麻】</v>
      </c>
      <c r="Y51" s="10" t="s">
        <v>34</v>
      </c>
      <c r="Z51" s="10" t="s">
        <v>34</v>
      </c>
      <c r="AA51" s="10" t="str">
        <f t="shared" si="12"/>
        <v>萨丽麻橡胶底马蹄形沐然方格灰;40*60cm【吸水;;厂家直销】【亚麻】</v>
      </c>
      <c r="AB51" s="10" t="str">
        <f t="shared" si="13"/>
        <v>3710544359753730</v>
      </c>
      <c r="AC51" s="10" t="s">
        <v>34</v>
      </c>
    </row>
    <row r="52" ht="15" spans="1:29">
      <c r="A52" s="10">
        <v>51</v>
      </c>
      <c r="B52" s="10" t="s">
        <v>29</v>
      </c>
      <c r="C52" s="10" t="s">
        <v>69</v>
      </c>
      <c r="D52" s="10" t="s">
        <v>70</v>
      </c>
      <c r="E52" s="10" t="s">
        <v>142</v>
      </c>
      <c r="F52" s="11" t="str" cm="1">
        <f t="array" ref="F52">_xlfn.IFS(ISNUMBER(FIND("硅藻",D52&amp;E52)),"硅藻泥",ISNUMBER(FIND("菠萝圈",D52&amp;E52)),"菠萝圈",AND(ISNUMBER(FIND("水晶绒",D52&amp;E52)),ISNUMBER(FIND("包边",D52&amp;E52))),"包边水晶绒",ISNUMBER(FIND("水晶绒",D52&amp;E52)),"水晶绒",ISNUMBER(FIND("天鹅绒",D52&amp;E52)),"天鹅绒",ISNUMBER(FIND("丝圈",D52&amp;E52)),"丝圈",ISNUMBER(FIND("仿羊绒",D52&amp;E52)),"仿羊绒",ISNUMBER(FIND("亚麻",D52&amp;E52)),"亚麻",ISNUMBER(FIND("皮革",D52&amp;E52)),"皮革",ISNUMBER(FIND("金钻绒",D52&amp;E52)),"金钻绒")</f>
        <v>亚麻</v>
      </c>
      <c r="G52" s="10" t="str">
        <f t="shared" si="9"/>
        <v>亚麻</v>
      </c>
      <c r="H52" s="11" t="str" cm="1">
        <f t="array" ref="H52">_wpsfn.REGEXP(_wpsfn.REGEXP(E52,"([至乘xX✖_\-])",2,"*"),"\d+\*\d+(?:[\*\+]\d+)*")</f>
        <v>50*80</v>
      </c>
      <c r="I52" s="10">
        <f t="shared" si="10"/>
        <v>0.4</v>
      </c>
      <c r="J52" s="10">
        <v>50</v>
      </c>
      <c r="K52" s="10">
        <v>80</v>
      </c>
      <c r="L52" s="10">
        <f t="shared" si="14"/>
        <v>0.504</v>
      </c>
      <c r="M52" s="10">
        <f t="shared" si="15"/>
        <v>6.48</v>
      </c>
      <c r="N52" s="10"/>
      <c r="O52" s="10"/>
      <c r="P52" s="10" t="s">
        <v>72</v>
      </c>
      <c r="Q52" s="10" t="s">
        <v>73</v>
      </c>
      <c r="R52" s="10" t="s">
        <v>74</v>
      </c>
      <c r="S52" s="10" t="s">
        <v>143</v>
      </c>
      <c r="T52" s="10">
        <v>35.8</v>
      </c>
      <c r="U52" s="10" t="s">
        <v>37</v>
      </c>
      <c r="V52" s="10">
        <v>9999</v>
      </c>
      <c r="W52" s="10" t="s">
        <v>34</v>
      </c>
      <c r="X52" s="10" t="str">
        <f t="shared" si="11"/>
        <v>萨丽麻橡胶底马蹄形沐然方格灰;50*80cm【Q弹舒适;;品质选择】【亚麻】</v>
      </c>
      <c r="Y52" s="10" t="s">
        <v>34</v>
      </c>
      <c r="Z52" s="10" t="s">
        <v>34</v>
      </c>
      <c r="AA52" s="10" t="str">
        <f t="shared" si="12"/>
        <v>萨丽麻橡胶底马蹄形沐然方格灰;50*80cm【Q弹舒适;;品质选择】【亚麻】</v>
      </c>
      <c r="AB52" s="10" t="str">
        <f t="shared" si="13"/>
        <v>3710544359753986</v>
      </c>
      <c r="AC52" s="10" t="s">
        <v>34</v>
      </c>
    </row>
    <row r="53" ht="15" spans="1:29">
      <c r="A53" s="10">
        <v>52</v>
      </c>
      <c r="B53" s="10" t="s">
        <v>29</v>
      </c>
      <c r="C53" s="10" t="s">
        <v>69</v>
      </c>
      <c r="D53" s="10" t="s">
        <v>70</v>
      </c>
      <c r="E53" s="10" t="s">
        <v>144</v>
      </c>
      <c r="F53" s="11" t="str" cm="1">
        <f t="array" ref="F53">_xlfn.IFS(ISNUMBER(FIND("硅藻",D53&amp;E53)),"硅藻泥",ISNUMBER(FIND("菠萝圈",D53&amp;E53)),"菠萝圈",AND(ISNUMBER(FIND("水晶绒",D53&amp;E53)),ISNUMBER(FIND("包边",D53&amp;E53))),"包边水晶绒",ISNUMBER(FIND("水晶绒",D53&amp;E53)),"水晶绒",ISNUMBER(FIND("天鹅绒",D53&amp;E53)),"天鹅绒",ISNUMBER(FIND("丝圈",D53&amp;E53)),"丝圈",ISNUMBER(FIND("仿羊绒",D53&amp;E53)),"仿羊绒",ISNUMBER(FIND("亚麻",D53&amp;E53)),"亚麻",ISNUMBER(FIND("皮革",D53&amp;E53)),"皮革",ISNUMBER(FIND("金钻绒",D53&amp;E53)),"金钻绒")</f>
        <v>亚麻</v>
      </c>
      <c r="G53" s="10" t="str">
        <f t="shared" si="9"/>
        <v>亚麻</v>
      </c>
      <c r="H53" s="11" t="str" cm="1">
        <f t="array" ref="H53">_wpsfn.REGEXP(_wpsfn.REGEXP(E53,"([至乘xX✖_\-])",2,"*"),"\d+\*\d+(?:[\*\+]\d+)*")</f>
        <v>60*90</v>
      </c>
      <c r="I53" s="10">
        <f t="shared" si="10"/>
        <v>0.54</v>
      </c>
      <c r="J53" s="10">
        <v>60</v>
      </c>
      <c r="K53" s="10">
        <v>90</v>
      </c>
      <c r="L53" s="10">
        <f t="shared" si="14"/>
        <v>0.6804</v>
      </c>
      <c r="M53" s="10">
        <f t="shared" si="15"/>
        <v>8.748</v>
      </c>
      <c r="N53" s="10"/>
      <c r="O53" s="10"/>
      <c r="P53" s="10" t="s">
        <v>72</v>
      </c>
      <c r="Q53" s="10" t="s">
        <v>73</v>
      </c>
      <c r="R53" s="10" t="s">
        <v>74</v>
      </c>
      <c r="S53" s="10" t="s">
        <v>145</v>
      </c>
      <c r="T53" s="10">
        <v>43</v>
      </c>
      <c r="U53" s="10" t="s">
        <v>37</v>
      </c>
      <c r="V53" s="10">
        <v>9999</v>
      </c>
      <c r="W53" s="10" t="s">
        <v>34</v>
      </c>
      <c r="X53" s="10" t="str">
        <f t="shared" si="11"/>
        <v>萨丽麻橡胶底马蹄形沐然方格灰;60*90cm【强烈止滑;;升级加厚】【亚麻】</v>
      </c>
      <c r="Y53" s="10" t="s">
        <v>34</v>
      </c>
      <c r="Z53" s="10" t="s">
        <v>34</v>
      </c>
      <c r="AA53" s="10" t="str">
        <f t="shared" si="12"/>
        <v>萨丽麻橡胶底马蹄形沐然方格灰;60*90cm【强烈止滑;;升级加厚】【亚麻】</v>
      </c>
      <c r="AB53" s="10" t="str">
        <f t="shared" si="13"/>
        <v>3710544359754242</v>
      </c>
      <c r="AC53" s="10" t="s">
        <v>34</v>
      </c>
    </row>
    <row r="54" ht="15" spans="1:29">
      <c r="A54" s="10">
        <v>53</v>
      </c>
      <c r="B54" s="10" t="s">
        <v>29</v>
      </c>
      <c r="C54" s="10" t="s">
        <v>69</v>
      </c>
      <c r="D54" s="10" t="s">
        <v>70</v>
      </c>
      <c r="E54" s="10" t="s">
        <v>146</v>
      </c>
      <c r="F54" s="11" t="str" cm="1">
        <f t="array" ref="F54">_xlfn.IFS(ISNUMBER(FIND("硅藻",D54&amp;E54)),"硅藻泥",ISNUMBER(FIND("菠萝圈",D54&amp;E54)),"菠萝圈",AND(ISNUMBER(FIND("水晶绒",D54&amp;E54)),ISNUMBER(FIND("包边",D54&amp;E54))),"包边水晶绒",ISNUMBER(FIND("水晶绒",D54&amp;E54)),"水晶绒",ISNUMBER(FIND("天鹅绒",D54&amp;E54)),"天鹅绒",ISNUMBER(FIND("丝圈",D54&amp;E54)),"丝圈",ISNUMBER(FIND("仿羊绒",D54&amp;E54)),"仿羊绒",ISNUMBER(FIND("亚麻",D54&amp;E54)),"亚麻",ISNUMBER(FIND("皮革",D54&amp;E54)),"皮革",ISNUMBER(FIND("金钻绒",D54&amp;E54)),"金钻绒")</f>
        <v>亚麻</v>
      </c>
      <c r="G54" s="10" t="str">
        <f t="shared" si="9"/>
        <v>亚麻</v>
      </c>
      <c r="H54" s="11" t="str" cm="1">
        <f t="array" ref="H54">_wpsfn.REGEXP(_wpsfn.REGEXP(E54,"([至乘xX✖_\-])",2,"*"),"\d+\*\d+(?:[\*\+]\d+)*")</f>
        <v>40*60</v>
      </c>
      <c r="I54" s="10">
        <f t="shared" si="10"/>
        <v>0.24</v>
      </c>
      <c r="J54" s="10">
        <v>40</v>
      </c>
      <c r="K54" s="10">
        <v>60</v>
      </c>
      <c r="L54" s="10">
        <f t="shared" si="14"/>
        <v>0.3024</v>
      </c>
      <c r="M54" s="10">
        <f t="shared" si="15"/>
        <v>3.888</v>
      </c>
      <c r="N54" s="10"/>
      <c r="O54" s="10"/>
      <c r="P54" s="10" t="s">
        <v>72</v>
      </c>
      <c r="Q54" s="10" t="s">
        <v>73</v>
      </c>
      <c r="R54" s="10" t="s">
        <v>74</v>
      </c>
      <c r="S54" s="10" t="s">
        <v>147</v>
      </c>
      <c r="T54" s="10">
        <v>21.8</v>
      </c>
      <c r="U54" s="10" t="s">
        <v>37</v>
      </c>
      <c r="V54" s="10">
        <v>9999</v>
      </c>
      <c r="W54" s="10" t="s">
        <v>34</v>
      </c>
      <c r="X54" s="10" t="str">
        <f t="shared" si="11"/>
        <v>萨丽麻橡胶底马蹄形素雅菱纹棕;40*60cm【吸水;;厂家直销】【亚麻】</v>
      </c>
      <c r="Y54" s="10" t="s">
        <v>34</v>
      </c>
      <c r="Z54" s="10" t="s">
        <v>34</v>
      </c>
      <c r="AA54" s="10" t="str">
        <f t="shared" si="12"/>
        <v>萨丽麻橡胶底马蹄形素雅菱纹棕;40*60cm【吸水;;厂家直销】【亚麻】</v>
      </c>
      <c r="AB54" s="10" t="str">
        <f t="shared" si="13"/>
        <v>3710544359754498</v>
      </c>
      <c r="AC54" s="10" t="s">
        <v>34</v>
      </c>
    </row>
    <row r="55" ht="15" spans="1:29">
      <c r="A55" s="10">
        <v>54</v>
      </c>
      <c r="B55" s="10" t="s">
        <v>29</v>
      </c>
      <c r="C55" s="10" t="s">
        <v>69</v>
      </c>
      <c r="D55" s="10" t="s">
        <v>70</v>
      </c>
      <c r="E55" s="10" t="s">
        <v>148</v>
      </c>
      <c r="F55" s="11" t="str" cm="1">
        <f t="array" ref="F55">_xlfn.IFS(ISNUMBER(FIND("硅藻",D55&amp;E55)),"硅藻泥",ISNUMBER(FIND("菠萝圈",D55&amp;E55)),"菠萝圈",AND(ISNUMBER(FIND("水晶绒",D55&amp;E55)),ISNUMBER(FIND("包边",D55&amp;E55))),"包边水晶绒",ISNUMBER(FIND("水晶绒",D55&amp;E55)),"水晶绒",ISNUMBER(FIND("天鹅绒",D55&amp;E55)),"天鹅绒",ISNUMBER(FIND("丝圈",D55&amp;E55)),"丝圈",ISNUMBER(FIND("仿羊绒",D55&amp;E55)),"仿羊绒",ISNUMBER(FIND("亚麻",D55&amp;E55)),"亚麻",ISNUMBER(FIND("皮革",D55&amp;E55)),"皮革",ISNUMBER(FIND("金钻绒",D55&amp;E55)),"金钻绒")</f>
        <v>亚麻</v>
      </c>
      <c r="G55" s="10" t="str">
        <f t="shared" si="9"/>
        <v>亚麻</v>
      </c>
      <c r="H55" s="11" t="str" cm="1">
        <f t="array" ref="H55">_wpsfn.REGEXP(_wpsfn.REGEXP(E55,"([至乘xX✖_\-])",2,"*"),"\d+\*\d+(?:[\*\+]\d+)*")</f>
        <v>50*80</v>
      </c>
      <c r="I55" s="10">
        <f t="shared" si="10"/>
        <v>0.4</v>
      </c>
      <c r="J55" s="10">
        <v>50</v>
      </c>
      <c r="K55" s="10">
        <v>80</v>
      </c>
      <c r="L55" s="10">
        <f t="shared" si="14"/>
        <v>0.504</v>
      </c>
      <c r="M55" s="10">
        <f t="shared" si="15"/>
        <v>6.48</v>
      </c>
      <c r="N55" s="10"/>
      <c r="O55" s="10"/>
      <c r="P55" s="10" t="s">
        <v>72</v>
      </c>
      <c r="Q55" s="10" t="s">
        <v>73</v>
      </c>
      <c r="R55" s="10" t="s">
        <v>74</v>
      </c>
      <c r="S55" s="10" t="s">
        <v>149</v>
      </c>
      <c r="T55" s="10">
        <v>35.8</v>
      </c>
      <c r="U55" s="10" t="s">
        <v>37</v>
      </c>
      <c r="V55" s="10">
        <v>9999</v>
      </c>
      <c r="W55" s="10" t="s">
        <v>34</v>
      </c>
      <c r="X55" s="10" t="str">
        <f t="shared" si="11"/>
        <v>萨丽麻橡胶底马蹄形素雅菱纹棕;50*80cm【Q弹舒适;;品质选择】【亚麻】</v>
      </c>
      <c r="Y55" s="10" t="s">
        <v>34</v>
      </c>
      <c r="Z55" s="10" t="s">
        <v>34</v>
      </c>
      <c r="AA55" s="10" t="str">
        <f t="shared" si="12"/>
        <v>萨丽麻橡胶底马蹄形素雅菱纹棕;50*80cm【Q弹舒适;;品质选择】【亚麻】</v>
      </c>
      <c r="AB55" s="10" t="str">
        <f t="shared" si="13"/>
        <v>3710544359754754</v>
      </c>
      <c r="AC55" s="10" t="s">
        <v>34</v>
      </c>
    </row>
    <row r="56" ht="15" spans="1:29">
      <c r="A56" s="10">
        <v>55</v>
      </c>
      <c r="B56" s="10" t="s">
        <v>29</v>
      </c>
      <c r="C56" s="10" t="s">
        <v>69</v>
      </c>
      <c r="D56" s="10" t="s">
        <v>70</v>
      </c>
      <c r="E56" s="10" t="s">
        <v>150</v>
      </c>
      <c r="F56" s="11" t="str" cm="1">
        <f t="array" ref="F56">_xlfn.IFS(ISNUMBER(FIND("硅藻",D56&amp;E56)),"硅藻泥",ISNUMBER(FIND("菠萝圈",D56&amp;E56)),"菠萝圈",AND(ISNUMBER(FIND("水晶绒",D56&amp;E56)),ISNUMBER(FIND("包边",D56&amp;E56))),"包边水晶绒",ISNUMBER(FIND("水晶绒",D56&amp;E56)),"水晶绒",ISNUMBER(FIND("天鹅绒",D56&amp;E56)),"天鹅绒",ISNUMBER(FIND("丝圈",D56&amp;E56)),"丝圈",ISNUMBER(FIND("仿羊绒",D56&amp;E56)),"仿羊绒",ISNUMBER(FIND("亚麻",D56&amp;E56)),"亚麻",ISNUMBER(FIND("皮革",D56&amp;E56)),"皮革",ISNUMBER(FIND("金钻绒",D56&amp;E56)),"金钻绒")</f>
        <v>亚麻</v>
      </c>
      <c r="G56" s="10" t="str">
        <f t="shared" si="9"/>
        <v>亚麻</v>
      </c>
      <c r="H56" s="11" t="str" cm="1">
        <f t="array" ref="H56">_wpsfn.REGEXP(_wpsfn.REGEXP(E56,"([至乘xX✖_\-])",2,"*"),"\d+\*\d+(?:[\*\+]\d+)*")</f>
        <v>60*90</v>
      </c>
      <c r="I56" s="10">
        <f t="shared" si="10"/>
        <v>0.54</v>
      </c>
      <c r="J56" s="10">
        <v>60</v>
      </c>
      <c r="K56" s="10">
        <v>90</v>
      </c>
      <c r="L56" s="10">
        <f t="shared" si="14"/>
        <v>0.6804</v>
      </c>
      <c r="M56" s="10">
        <f t="shared" si="15"/>
        <v>8.748</v>
      </c>
      <c r="N56" s="10"/>
      <c r="O56" s="10"/>
      <c r="P56" s="10" t="s">
        <v>72</v>
      </c>
      <c r="Q56" s="10" t="s">
        <v>73</v>
      </c>
      <c r="R56" s="10" t="s">
        <v>74</v>
      </c>
      <c r="S56" s="10" t="s">
        <v>151</v>
      </c>
      <c r="T56" s="10">
        <v>43</v>
      </c>
      <c r="U56" s="10" t="s">
        <v>37</v>
      </c>
      <c r="V56" s="10">
        <v>9999</v>
      </c>
      <c r="W56" s="10" t="s">
        <v>34</v>
      </c>
      <c r="X56" s="10" t="str">
        <f t="shared" si="11"/>
        <v>萨丽麻橡胶底马蹄形素雅菱纹棕;60*90cm【强烈止滑;;升级加厚】【亚麻】</v>
      </c>
      <c r="Y56" s="10" t="s">
        <v>34</v>
      </c>
      <c r="Z56" s="10" t="s">
        <v>34</v>
      </c>
      <c r="AA56" s="10" t="str">
        <f t="shared" si="12"/>
        <v>萨丽麻橡胶底马蹄形素雅菱纹棕;60*90cm【强烈止滑;;升级加厚】【亚麻】</v>
      </c>
      <c r="AB56" s="10" t="str">
        <f t="shared" si="13"/>
        <v>3710544359755010</v>
      </c>
      <c r="AC56" s="10" t="s">
        <v>34</v>
      </c>
    </row>
    <row r="57" ht="15" spans="1:29">
      <c r="A57" s="10">
        <v>56</v>
      </c>
      <c r="B57" s="10" t="s">
        <v>29</v>
      </c>
      <c r="C57" s="10" t="s">
        <v>69</v>
      </c>
      <c r="D57" s="10" t="s">
        <v>70</v>
      </c>
      <c r="E57" s="10" t="s">
        <v>152</v>
      </c>
      <c r="F57" s="11" t="str" cm="1">
        <f t="array" ref="F57">_xlfn.IFS(ISNUMBER(FIND("硅藻",D57&amp;E57)),"硅藻泥",ISNUMBER(FIND("菠萝圈",D57&amp;E57)),"菠萝圈",AND(ISNUMBER(FIND("水晶绒",D57&amp;E57)),ISNUMBER(FIND("包边",D57&amp;E57))),"包边水晶绒",ISNUMBER(FIND("水晶绒",D57&amp;E57)),"水晶绒",ISNUMBER(FIND("天鹅绒",D57&amp;E57)),"天鹅绒",ISNUMBER(FIND("丝圈",D57&amp;E57)),"丝圈",ISNUMBER(FIND("仿羊绒",D57&amp;E57)),"仿羊绒",ISNUMBER(FIND("亚麻",D57&amp;E57)),"亚麻",ISNUMBER(FIND("皮革",D57&amp;E57)),"皮革",ISNUMBER(FIND("金钻绒",D57&amp;E57)),"金钻绒")</f>
        <v>亚麻</v>
      </c>
      <c r="G57" s="10" t="str">
        <f t="shared" si="9"/>
        <v>亚麻</v>
      </c>
      <c r="H57" s="11" t="str" cm="1">
        <f t="array" ref="H57">_wpsfn.REGEXP(_wpsfn.REGEXP(E57,"([至乘xX✖_\-])",2,"*"),"\d+\*\d+(?:[\*\+]\d+)*")</f>
        <v>40*60</v>
      </c>
      <c r="I57" s="10">
        <f t="shared" si="10"/>
        <v>0.24</v>
      </c>
      <c r="J57" s="10">
        <v>40</v>
      </c>
      <c r="K57" s="10">
        <v>60</v>
      </c>
      <c r="L57" s="10">
        <f t="shared" si="14"/>
        <v>0.3024</v>
      </c>
      <c r="M57" s="10">
        <f t="shared" si="15"/>
        <v>3.888</v>
      </c>
      <c r="N57" s="10"/>
      <c r="O57" s="10"/>
      <c r="P57" s="10" t="s">
        <v>72</v>
      </c>
      <c r="Q57" s="10" t="s">
        <v>73</v>
      </c>
      <c r="R57" s="10" t="s">
        <v>74</v>
      </c>
      <c r="S57" s="10" t="s">
        <v>153</v>
      </c>
      <c r="T57" s="10">
        <v>21.8</v>
      </c>
      <c r="U57" s="10" t="s">
        <v>37</v>
      </c>
      <c r="V57" s="10">
        <v>9999</v>
      </c>
      <c r="W57" s="10" t="s">
        <v>34</v>
      </c>
      <c r="X57" s="10" t="str">
        <f t="shared" si="11"/>
        <v>萨丽麻橡胶底马蹄形素雅菱纹灰;40*60cm【吸水;;厂家直销】【亚麻】</v>
      </c>
      <c r="Y57" s="10" t="s">
        <v>34</v>
      </c>
      <c r="Z57" s="10" t="s">
        <v>34</v>
      </c>
      <c r="AA57" s="10" t="str">
        <f t="shared" si="12"/>
        <v>萨丽麻橡胶底马蹄形素雅菱纹灰;40*60cm【吸水;;厂家直销】【亚麻】</v>
      </c>
      <c r="AB57" s="10" t="str">
        <f t="shared" si="13"/>
        <v>3710544359755266</v>
      </c>
      <c r="AC57" s="10" t="s">
        <v>34</v>
      </c>
    </row>
    <row r="58" ht="15" spans="1:29">
      <c r="A58" s="10">
        <v>57</v>
      </c>
      <c r="B58" s="10" t="s">
        <v>29</v>
      </c>
      <c r="C58" s="10" t="s">
        <v>69</v>
      </c>
      <c r="D58" s="10" t="s">
        <v>70</v>
      </c>
      <c r="E58" s="10" t="s">
        <v>154</v>
      </c>
      <c r="F58" s="11" t="str" cm="1">
        <f t="array" ref="F58">_xlfn.IFS(ISNUMBER(FIND("硅藻",D58&amp;E58)),"硅藻泥",ISNUMBER(FIND("菠萝圈",D58&amp;E58)),"菠萝圈",AND(ISNUMBER(FIND("水晶绒",D58&amp;E58)),ISNUMBER(FIND("包边",D58&amp;E58))),"包边水晶绒",ISNUMBER(FIND("水晶绒",D58&amp;E58)),"水晶绒",ISNUMBER(FIND("天鹅绒",D58&amp;E58)),"天鹅绒",ISNUMBER(FIND("丝圈",D58&amp;E58)),"丝圈",ISNUMBER(FIND("仿羊绒",D58&amp;E58)),"仿羊绒",ISNUMBER(FIND("亚麻",D58&amp;E58)),"亚麻",ISNUMBER(FIND("皮革",D58&amp;E58)),"皮革",ISNUMBER(FIND("金钻绒",D58&amp;E58)),"金钻绒")</f>
        <v>亚麻</v>
      </c>
      <c r="G58" s="10" t="str">
        <f t="shared" si="9"/>
        <v>亚麻</v>
      </c>
      <c r="H58" s="11" t="str" cm="1">
        <f t="array" ref="H58">_wpsfn.REGEXP(_wpsfn.REGEXP(E58,"([至乘xX✖_\-])",2,"*"),"\d+\*\d+(?:[\*\+]\d+)*")</f>
        <v>50*80</v>
      </c>
      <c r="I58" s="10">
        <f t="shared" si="10"/>
        <v>0.4</v>
      </c>
      <c r="J58" s="10">
        <v>50</v>
      </c>
      <c r="K58" s="10">
        <v>80</v>
      </c>
      <c r="L58" s="10">
        <f t="shared" si="14"/>
        <v>0.504</v>
      </c>
      <c r="M58" s="10">
        <f t="shared" si="15"/>
        <v>6.48</v>
      </c>
      <c r="N58" s="10"/>
      <c r="O58" s="10"/>
      <c r="P58" s="10" t="s">
        <v>72</v>
      </c>
      <c r="Q58" s="10" t="s">
        <v>73</v>
      </c>
      <c r="R58" s="10" t="s">
        <v>74</v>
      </c>
      <c r="S58" s="10" t="s">
        <v>155</v>
      </c>
      <c r="T58" s="10">
        <v>35.8</v>
      </c>
      <c r="U58" s="10" t="s">
        <v>37</v>
      </c>
      <c r="V58" s="10">
        <v>9999</v>
      </c>
      <c r="W58" s="10" t="s">
        <v>34</v>
      </c>
      <c r="X58" s="10" t="str">
        <f t="shared" si="11"/>
        <v>萨丽麻橡胶底马蹄形素雅菱纹灰;50*80cm【Q弹舒适;;品质选择】【亚麻】</v>
      </c>
      <c r="Y58" s="10" t="s">
        <v>34</v>
      </c>
      <c r="Z58" s="10" t="s">
        <v>34</v>
      </c>
      <c r="AA58" s="10" t="str">
        <f t="shared" si="12"/>
        <v>萨丽麻橡胶底马蹄形素雅菱纹灰;50*80cm【Q弹舒适;;品质选择】【亚麻】</v>
      </c>
      <c r="AB58" s="10" t="str">
        <f t="shared" si="13"/>
        <v>3710544359755522</v>
      </c>
      <c r="AC58" s="10" t="s">
        <v>34</v>
      </c>
    </row>
    <row r="59" ht="15" spans="1:29">
      <c r="A59" s="10">
        <v>58</v>
      </c>
      <c r="B59" s="10" t="s">
        <v>29</v>
      </c>
      <c r="C59" s="10" t="s">
        <v>69</v>
      </c>
      <c r="D59" s="10" t="s">
        <v>70</v>
      </c>
      <c r="E59" s="10" t="s">
        <v>156</v>
      </c>
      <c r="F59" s="11" t="str" cm="1">
        <f t="array" ref="F59">_xlfn.IFS(ISNUMBER(FIND("硅藻",D59&amp;E59)),"硅藻泥",ISNUMBER(FIND("菠萝圈",D59&amp;E59)),"菠萝圈",AND(ISNUMBER(FIND("水晶绒",D59&amp;E59)),ISNUMBER(FIND("包边",D59&amp;E59))),"包边水晶绒",ISNUMBER(FIND("水晶绒",D59&amp;E59)),"水晶绒",ISNUMBER(FIND("天鹅绒",D59&amp;E59)),"天鹅绒",ISNUMBER(FIND("丝圈",D59&amp;E59)),"丝圈",ISNUMBER(FIND("仿羊绒",D59&amp;E59)),"仿羊绒",ISNUMBER(FIND("亚麻",D59&amp;E59)),"亚麻",ISNUMBER(FIND("皮革",D59&amp;E59)),"皮革",ISNUMBER(FIND("金钻绒",D59&amp;E59)),"金钻绒")</f>
        <v>亚麻</v>
      </c>
      <c r="G59" s="10" t="str">
        <f t="shared" si="9"/>
        <v>亚麻</v>
      </c>
      <c r="H59" s="11" t="str" cm="1">
        <f t="array" ref="H59">_wpsfn.REGEXP(_wpsfn.REGEXP(E59,"([至乘xX✖_\-])",2,"*"),"\d+\*\d+(?:[\*\+]\d+)*")</f>
        <v>60*90</v>
      </c>
      <c r="I59" s="10">
        <f t="shared" si="10"/>
        <v>0.54</v>
      </c>
      <c r="J59" s="10">
        <v>60</v>
      </c>
      <c r="K59" s="10">
        <v>90</v>
      </c>
      <c r="L59" s="10">
        <f t="shared" si="14"/>
        <v>0.6804</v>
      </c>
      <c r="M59" s="10">
        <f t="shared" si="15"/>
        <v>8.748</v>
      </c>
      <c r="N59" s="10"/>
      <c r="O59" s="10"/>
      <c r="P59" s="10" t="s">
        <v>72</v>
      </c>
      <c r="Q59" s="10" t="s">
        <v>73</v>
      </c>
      <c r="R59" s="10" t="s">
        <v>74</v>
      </c>
      <c r="S59" s="10" t="s">
        <v>157</v>
      </c>
      <c r="T59" s="10">
        <v>43</v>
      </c>
      <c r="U59" s="10" t="s">
        <v>37</v>
      </c>
      <c r="V59" s="10">
        <v>9999</v>
      </c>
      <c r="W59" s="10" t="s">
        <v>34</v>
      </c>
      <c r="X59" s="10" t="str">
        <f t="shared" si="11"/>
        <v>萨丽麻橡胶底马蹄形素雅菱纹灰;60*90cm【强烈止滑;;升级加厚】【亚麻】</v>
      </c>
      <c r="Y59" s="10" t="s">
        <v>34</v>
      </c>
      <c r="Z59" s="10" t="s">
        <v>34</v>
      </c>
      <c r="AA59" s="10" t="str">
        <f t="shared" si="12"/>
        <v>萨丽麻橡胶底马蹄形素雅菱纹灰;60*90cm【强烈止滑;;升级加厚】【亚麻】</v>
      </c>
      <c r="AB59" s="10" t="str">
        <f t="shared" si="13"/>
        <v>3710544359755778</v>
      </c>
      <c r="AC59" s="10" t="s">
        <v>34</v>
      </c>
    </row>
    <row r="60" ht="15" spans="1:29">
      <c r="A60" s="10">
        <v>59</v>
      </c>
      <c r="B60" s="10" t="s">
        <v>29</v>
      </c>
      <c r="C60" s="10" t="s">
        <v>69</v>
      </c>
      <c r="D60" s="10" t="s">
        <v>70</v>
      </c>
      <c r="E60" s="10" t="s">
        <v>158</v>
      </c>
      <c r="F60" s="11" t="str" cm="1">
        <f t="array" ref="F60">_xlfn.IFS(ISNUMBER(FIND("硅藻",D60&amp;E60)),"硅藻泥",ISNUMBER(FIND("菠萝圈",D60&amp;E60)),"菠萝圈",AND(ISNUMBER(FIND("水晶绒",D60&amp;E60)),ISNUMBER(FIND("包边",D60&amp;E60))),"包边水晶绒",ISNUMBER(FIND("水晶绒",D60&amp;E60)),"水晶绒",ISNUMBER(FIND("天鹅绒",D60&amp;E60)),"天鹅绒",ISNUMBER(FIND("丝圈",D60&amp;E60)),"丝圈",ISNUMBER(FIND("仿羊绒",D60&amp;E60)),"仿羊绒",ISNUMBER(FIND("亚麻",D60&amp;E60)),"亚麻",ISNUMBER(FIND("皮革",D60&amp;E60)),"皮革",ISNUMBER(FIND("金钻绒",D60&amp;E60)),"金钻绒")</f>
        <v>亚麻</v>
      </c>
      <c r="G60" s="10" t="str">
        <f t="shared" si="9"/>
        <v>亚麻</v>
      </c>
      <c r="H60" s="11" t="str" cm="1">
        <f t="array" ref="H60">_wpsfn.REGEXP(_wpsfn.REGEXP(E60,"([至乘xX✖_\-])",2,"*"),"\d+\*\d+(?:[\*\+]\d+)*")</f>
        <v>40*60</v>
      </c>
      <c r="I60" s="10">
        <f t="shared" si="10"/>
        <v>0.24</v>
      </c>
      <c r="J60" s="10">
        <v>40</v>
      </c>
      <c r="K60" s="10">
        <v>60</v>
      </c>
      <c r="L60" s="10">
        <f t="shared" si="14"/>
        <v>0.3024</v>
      </c>
      <c r="M60" s="10">
        <f t="shared" si="15"/>
        <v>3.888</v>
      </c>
      <c r="N60" s="10"/>
      <c r="O60" s="10"/>
      <c r="P60" s="10" t="s">
        <v>72</v>
      </c>
      <c r="Q60" s="10" t="s">
        <v>73</v>
      </c>
      <c r="R60" s="10" t="s">
        <v>74</v>
      </c>
      <c r="S60" s="10" t="s">
        <v>159</v>
      </c>
      <c r="T60" s="10">
        <v>21.8</v>
      </c>
      <c r="U60" s="10" t="s">
        <v>37</v>
      </c>
      <c r="V60" s="10">
        <v>9999</v>
      </c>
      <c r="W60" s="10" t="s">
        <v>34</v>
      </c>
      <c r="X60" s="10" t="str">
        <f t="shared" si="11"/>
        <v>萨丽麻橡胶底马蹄形织锦树叶棕;40*60cm【吸水;;厂家直销】【亚麻】</v>
      </c>
      <c r="Y60" s="10" t="s">
        <v>34</v>
      </c>
      <c r="Z60" s="10" t="s">
        <v>34</v>
      </c>
      <c r="AA60" s="10" t="str">
        <f t="shared" si="12"/>
        <v>萨丽麻橡胶底马蹄形织锦树叶棕;40*60cm【吸水;;厂家直销】【亚麻】</v>
      </c>
      <c r="AB60" s="10" t="str">
        <f t="shared" si="13"/>
        <v>3710544359756034</v>
      </c>
      <c r="AC60" s="10" t="s">
        <v>34</v>
      </c>
    </row>
    <row r="61" ht="15" spans="1:29">
      <c r="A61" s="10">
        <v>60</v>
      </c>
      <c r="B61" s="10" t="s">
        <v>29</v>
      </c>
      <c r="C61" s="10" t="s">
        <v>69</v>
      </c>
      <c r="D61" s="10" t="s">
        <v>70</v>
      </c>
      <c r="E61" s="10" t="s">
        <v>160</v>
      </c>
      <c r="F61" s="11" t="str" cm="1">
        <f t="array" ref="F61">_xlfn.IFS(ISNUMBER(FIND("硅藻",D61&amp;E61)),"硅藻泥",ISNUMBER(FIND("菠萝圈",D61&amp;E61)),"菠萝圈",AND(ISNUMBER(FIND("水晶绒",D61&amp;E61)),ISNUMBER(FIND("包边",D61&amp;E61))),"包边水晶绒",ISNUMBER(FIND("水晶绒",D61&amp;E61)),"水晶绒",ISNUMBER(FIND("天鹅绒",D61&amp;E61)),"天鹅绒",ISNUMBER(FIND("丝圈",D61&amp;E61)),"丝圈",ISNUMBER(FIND("仿羊绒",D61&amp;E61)),"仿羊绒",ISNUMBER(FIND("亚麻",D61&amp;E61)),"亚麻",ISNUMBER(FIND("皮革",D61&amp;E61)),"皮革",ISNUMBER(FIND("金钻绒",D61&amp;E61)),"金钻绒")</f>
        <v>亚麻</v>
      </c>
      <c r="G61" s="10" t="str">
        <f t="shared" si="9"/>
        <v>亚麻</v>
      </c>
      <c r="H61" s="11" t="str" cm="1">
        <f t="array" ref="H61">_wpsfn.REGEXP(_wpsfn.REGEXP(E61,"([至乘xX✖_\-])",2,"*"),"\d+\*\d+(?:[\*\+]\d+)*")</f>
        <v>50*80</v>
      </c>
      <c r="I61" s="10">
        <f t="shared" si="10"/>
        <v>0.4</v>
      </c>
      <c r="J61" s="10">
        <v>50</v>
      </c>
      <c r="K61" s="10">
        <v>80</v>
      </c>
      <c r="L61" s="10">
        <f t="shared" si="14"/>
        <v>0.504</v>
      </c>
      <c r="M61" s="10">
        <f t="shared" si="15"/>
        <v>6.48</v>
      </c>
      <c r="N61" s="10"/>
      <c r="O61" s="10"/>
      <c r="P61" s="10" t="s">
        <v>72</v>
      </c>
      <c r="Q61" s="10" t="s">
        <v>73</v>
      </c>
      <c r="R61" s="10" t="s">
        <v>74</v>
      </c>
      <c r="S61" s="10" t="s">
        <v>161</v>
      </c>
      <c r="T61" s="10">
        <v>35.8</v>
      </c>
      <c r="U61" s="10" t="s">
        <v>37</v>
      </c>
      <c r="V61" s="10">
        <v>9999</v>
      </c>
      <c r="W61" s="10" t="s">
        <v>34</v>
      </c>
      <c r="X61" s="10" t="str">
        <f t="shared" si="11"/>
        <v>萨丽麻橡胶底马蹄形织锦树叶棕;50*80cm【Q弹舒适;;品质选择】【亚麻】</v>
      </c>
      <c r="Y61" s="10" t="s">
        <v>34</v>
      </c>
      <c r="Z61" s="10" t="s">
        <v>34</v>
      </c>
      <c r="AA61" s="10" t="str">
        <f t="shared" si="12"/>
        <v>萨丽麻橡胶底马蹄形织锦树叶棕;50*80cm【Q弹舒适;;品质选择】【亚麻】</v>
      </c>
      <c r="AB61" s="10" t="str">
        <f t="shared" si="13"/>
        <v>3710544359756290</v>
      </c>
      <c r="AC61" s="10" t="s">
        <v>34</v>
      </c>
    </row>
    <row r="62" ht="15" spans="1:29">
      <c r="A62" s="10">
        <v>61</v>
      </c>
      <c r="B62" s="10" t="s">
        <v>29</v>
      </c>
      <c r="C62" s="10" t="s">
        <v>69</v>
      </c>
      <c r="D62" s="10" t="s">
        <v>70</v>
      </c>
      <c r="E62" s="10" t="s">
        <v>162</v>
      </c>
      <c r="F62" s="11" t="str" cm="1">
        <f t="array" ref="F62">_xlfn.IFS(ISNUMBER(FIND("硅藻",D62&amp;E62)),"硅藻泥",ISNUMBER(FIND("菠萝圈",D62&amp;E62)),"菠萝圈",AND(ISNUMBER(FIND("水晶绒",D62&amp;E62)),ISNUMBER(FIND("包边",D62&amp;E62))),"包边水晶绒",ISNUMBER(FIND("水晶绒",D62&amp;E62)),"水晶绒",ISNUMBER(FIND("天鹅绒",D62&amp;E62)),"天鹅绒",ISNUMBER(FIND("丝圈",D62&amp;E62)),"丝圈",ISNUMBER(FIND("仿羊绒",D62&amp;E62)),"仿羊绒",ISNUMBER(FIND("亚麻",D62&amp;E62)),"亚麻",ISNUMBER(FIND("皮革",D62&amp;E62)),"皮革",ISNUMBER(FIND("金钻绒",D62&amp;E62)),"金钻绒")</f>
        <v>亚麻</v>
      </c>
      <c r="G62" s="10" t="str">
        <f t="shared" si="9"/>
        <v>亚麻</v>
      </c>
      <c r="H62" s="11" t="str" cm="1">
        <f t="array" ref="H62">_wpsfn.REGEXP(_wpsfn.REGEXP(E62,"([至乘xX✖_\-])",2,"*"),"\d+\*\d+(?:[\*\+]\d+)*")</f>
        <v>60*90</v>
      </c>
      <c r="I62" s="10">
        <f t="shared" si="10"/>
        <v>0.54</v>
      </c>
      <c r="J62" s="10">
        <v>60</v>
      </c>
      <c r="K62" s="10">
        <v>90</v>
      </c>
      <c r="L62" s="10">
        <f t="shared" si="14"/>
        <v>0.6804</v>
      </c>
      <c r="M62" s="10">
        <f t="shared" si="15"/>
        <v>8.748</v>
      </c>
      <c r="N62" s="10"/>
      <c r="O62" s="10"/>
      <c r="P62" s="10" t="s">
        <v>72</v>
      </c>
      <c r="Q62" s="10" t="s">
        <v>73</v>
      </c>
      <c r="R62" s="10" t="s">
        <v>74</v>
      </c>
      <c r="S62" s="10" t="s">
        <v>163</v>
      </c>
      <c r="T62" s="10">
        <v>43</v>
      </c>
      <c r="U62" s="10" t="s">
        <v>37</v>
      </c>
      <c r="V62" s="10">
        <v>9999</v>
      </c>
      <c r="W62" s="10" t="s">
        <v>34</v>
      </c>
      <c r="X62" s="10" t="str">
        <f t="shared" si="11"/>
        <v>萨丽麻橡胶底马蹄形织锦树叶棕;60*90cm【强烈止滑;;升级加厚】【亚麻】</v>
      </c>
      <c r="Y62" s="10" t="s">
        <v>34</v>
      </c>
      <c r="Z62" s="10" t="s">
        <v>34</v>
      </c>
      <c r="AA62" s="10" t="str">
        <f t="shared" si="12"/>
        <v>萨丽麻橡胶底马蹄形织锦树叶棕;60*90cm【强烈止滑;;升级加厚】【亚麻】</v>
      </c>
      <c r="AB62" s="10" t="str">
        <f t="shared" si="13"/>
        <v>3710544359756546</v>
      </c>
      <c r="AC62" s="10" t="s">
        <v>34</v>
      </c>
    </row>
    <row r="63" ht="15" spans="1:29">
      <c r="A63" s="10">
        <v>62</v>
      </c>
      <c r="B63" s="10" t="s">
        <v>29</v>
      </c>
      <c r="C63" s="10" t="s">
        <v>69</v>
      </c>
      <c r="D63" s="10" t="s">
        <v>70</v>
      </c>
      <c r="E63" s="10" t="s">
        <v>164</v>
      </c>
      <c r="F63" s="11" t="str" cm="1">
        <f t="array" ref="F63">_xlfn.IFS(ISNUMBER(FIND("硅藻",D63&amp;E63)),"硅藻泥",ISNUMBER(FIND("菠萝圈",D63&amp;E63)),"菠萝圈",AND(ISNUMBER(FIND("水晶绒",D63&amp;E63)),ISNUMBER(FIND("包边",D63&amp;E63))),"包边水晶绒",ISNUMBER(FIND("水晶绒",D63&amp;E63)),"水晶绒",ISNUMBER(FIND("天鹅绒",D63&amp;E63)),"天鹅绒",ISNUMBER(FIND("丝圈",D63&amp;E63)),"丝圈",ISNUMBER(FIND("仿羊绒",D63&amp;E63)),"仿羊绒",ISNUMBER(FIND("亚麻",D63&amp;E63)),"亚麻",ISNUMBER(FIND("皮革",D63&amp;E63)),"皮革",ISNUMBER(FIND("金钻绒",D63&amp;E63)),"金钻绒")</f>
        <v>亚麻</v>
      </c>
      <c r="G63" s="10" t="str">
        <f t="shared" si="9"/>
        <v>亚麻</v>
      </c>
      <c r="H63" s="11" t="str" cm="1">
        <f t="array" ref="H63">_wpsfn.REGEXP(_wpsfn.REGEXP(E63,"([至乘xX✖_\-])",2,"*"),"\d+\*\d+(?:[\*\+]\d+)*")</f>
        <v>40*60</v>
      </c>
      <c r="I63" s="10">
        <f t="shared" si="10"/>
        <v>0.24</v>
      </c>
      <c r="J63" s="10">
        <v>40</v>
      </c>
      <c r="K63" s="10">
        <v>60</v>
      </c>
      <c r="L63" s="10">
        <f t="shared" si="14"/>
        <v>0.3024</v>
      </c>
      <c r="M63" s="10">
        <f t="shared" si="15"/>
        <v>3.888</v>
      </c>
      <c r="N63" s="10"/>
      <c r="O63" s="10"/>
      <c r="P63" s="10" t="s">
        <v>72</v>
      </c>
      <c r="Q63" s="10" t="s">
        <v>73</v>
      </c>
      <c r="R63" s="10" t="s">
        <v>74</v>
      </c>
      <c r="S63" s="10" t="s">
        <v>165</v>
      </c>
      <c r="T63" s="10">
        <v>21.8</v>
      </c>
      <c r="U63" s="10" t="s">
        <v>37</v>
      </c>
      <c r="V63" s="10">
        <v>9999</v>
      </c>
      <c r="W63" s="10" t="s">
        <v>34</v>
      </c>
      <c r="X63" s="10" t="str">
        <f t="shared" si="11"/>
        <v>萨丽麻橡胶底马蹄形织锦树叶灰;40*60cm【吸水;;厂家直销】【亚麻】</v>
      </c>
      <c r="Y63" s="10" t="s">
        <v>34</v>
      </c>
      <c r="Z63" s="10" t="s">
        <v>34</v>
      </c>
      <c r="AA63" s="10" t="str">
        <f t="shared" si="12"/>
        <v>萨丽麻橡胶底马蹄形织锦树叶灰;40*60cm【吸水;;厂家直销】【亚麻】</v>
      </c>
      <c r="AB63" s="10" t="str">
        <f t="shared" si="13"/>
        <v>3710544359756802</v>
      </c>
      <c r="AC63" s="10" t="s">
        <v>34</v>
      </c>
    </row>
    <row r="64" ht="15" spans="1:29">
      <c r="A64" s="10">
        <v>63</v>
      </c>
      <c r="B64" s="10" t="s">
        <v>29</v>
      </c>
      <c r="C64" s="10" t="s">
        <v>69</v>
      </c>
      <c r="D64" s="10" t="s">
        <v>70</v>
      </c>
      <c r="E64" s="10" t="s">
        <v>166</v>
      </c>
      <c r="F64" s="11" t="str" cm="1">
        <f t="array" ref="F64">_xlfn.IFS(ISNUMBER(FIND("硅藻",D64&amp;E64)),"硅藻泥",ISNUMBER(FIND("菠萝圈",D64&amp;E64)),"菠萝圈",AND(ISNUMBER(FIND("水晶绒",D64&amp;E64)),ISNUMBER(FIND("包边",D64&amp;E64))),"包边水晶绒",ISNUMBER(FIND("水晶绒",D64&amp;E64)),"水晶绒",ISNUMBER(FIND("天鹅绒",D64&amp;E64)),"天鹅绒",ISNUMBER(FIND("丝圈",D64&amp;E64)),"丝圈",ISNUMBER(FIND("仿羊绒",D64&amp;E64)),"仿羊绒",ISNUMBER(FIND("亚麻",D64&amp;E64)),"亚麻",ISNUMBER(FIND("皮革",D64&amp;E64)),"皮革",ISNUMBER(FIND("金钻绒",D64&amp;E64)),"金钻绒")</f>
        <v>亚麻</v>
      </c>
      <c r="G64" s="10" t="str">
        <f t="shared" si="9"/>
        <v>亚麻</v>
      </c>
      <c r="H64" s="11" t="str" cm="1">
        <f t="array" ref="H64">_wpsfn.REGEXP(_wpsfn.REGEXP(E64,"([至乘xX✖_\-])",2,"*"),"\d+\*\d+(?:[\*\+]\d+)*")</f>
        <v>50*80</v>
      </c>
      <c r="I64" s="10">
        <f t="shared" si="10"/>
        <v>0.4</v>
      </c>
      <c r="J64" s="10">
        <v>50</v>
      </c>
      <c r="K64" s="10">
        <v>80</v>
      </c>
      <c r="L64" s="10">
        <f t="shared" si="14"/>
        <v>0.504</v>
      </c>
      <c r="M64" s="10">
        <f t="shared" si="15"/>
        <v>6.48</v>
      </c>
      <c r="N64" s="10"/>
      <c r="O64" s="10"/>
      <c r="P64" s="10" t="s">
        <v>72</v>
      </c>
      <c r="Q64" s="10" t="s">
        <v>73</v>
      </c>
      <c r="R64" s="10" t="s">
        <v>74</v>
      </c>
      <c r="S64" s="10" t="s">
        <v>167</v>
      </c>
      <c r="T64" s="10">
        <v>35.8</v>
      </c>
      <c r="U64" s="10" t="s">
        <v>37</v>
      </c>
      <c r="V64" s="10">
        <v>9999</v>
      </c>
      <c r="W64" s="10" t="s">
        <v>34</v>
      </c>
      <c r="X64" s="10" t="str">
        <f t="shared" si="11"/>
        <v>萨丽麻橡胶底马蹄形织锦树叶灰;50*80cm【Q弹舒适;;品质选择】【亚麻】</v>
      </c>
      <c r="Y64" s="10" t="s">
        <v>34</v>
      </c>
      <c r="Z64" s="10" t="s">
        <v>34</v>
      </c>
      <c r="AA64" s="10" t="str">
        <f t="shared" si="12"/>
        <v>萨丽麻橡胶底马蹄形织锦树叶灰;50*80cm【Q弹舒适;;品质选择】【亚麻】</v>
      </c>
      <c r="AB64" s="10" t="str">
        <f t="shared" si="13"/>
        <v>3710544359757058</v>
      </c>
      <c r="AC64" s="10" t="s">
        <v>34</v>
      </c>
    </row>
    <row r="65" ht="15" spans="1:29">
      <c r="A65" s="10">
        <v>64</v>
      </c>
      <c r="B65" s="10" t="s">
        <v>29</v>
      </c>
      <c r="C65" s="10" t="s">
        <v>69</v>
      </c>
      <c r="D65" s="10" t="s">
        <v>70</v>
      </c>
      <c r="E65" s="10" t="s">
        <v>168</v>
      </c>
      <c r="F65" s="11" t="str" cm="1">
        <f t="array" ref="F65">_xlfn.IFS(ISNUMBER(FIND("硅藻",D65&amp;E65)),"硅藻泥",ISNUMBER(FIND("菠萝圈",D65&amp;E65)),"菠萝圈",AND(ISNUMBER(FIND("水晶绒",D65&amp;E65)),ISNUMBER(FIND("包边",D65&amp;E65))),"包边水晶绒",ISNUMBER(FIND("水晶绒",D65&amp;E65)),"水晶绒",ISNUMBER(FIND("天鹅绒",D65&amp;E65)),"天鹅绒",ISNUMBER(FIND("丝圈",D65&amp;E65)),"丝圈",ISNUMBER(FIND("仿羊绒",D65&amp;E65)),"仿羊绒",ISNUMBER(FIND("亚麻",D65&amp;E65)),"亚麻",ISNUMBER(FIND("皮革",D65&amp;E65)),"皮革",ISNUMBER(FIND("金钻绒",D65&amp;E65)),"金钻绒")</f>
        <v>亚麻</v>
      </c>
      <c r="G65" s="10" t="str">
        <f t="shared" si="9"/>
        <v>亚麻</v>
      </c>
      <c r="H65" s="11" t="str" cm="1">
        <f t="array" ref="H65">_wpsfn.REGEXP(_wpsfn.REGEXP(E65,"([至乘xX✖_\-])",2,"*"),"\d+\*\d+(?:[\*\+]\d+)*")</f>
        <v>60*90</v>
      </c>
      <c r="I65" s="10">
        <f t="shared" si="10"/>
        <v>0.54</v>
      </c>
      <c r="J65" s="10">
        <v>60</v>
      </c>
      <c r="K65" s="10">
        <v>90</v>
      </c>
      <c r="L65" s="10">
        <f t="shared" si="14"/>
        <v>0.6804</v>
      </c>
      <c r="M65" s="10">
        <f t="shared" si="15"/>
        <v>8.748</v>
      </c>
      <c r="N65" s="10"/>
      <c r="O65" s="10"/>
      <c r="P65" s="10" t="s">
        <v>72</v>
      </c>
      <c r="Q65" s="10" t="s">
        <v>73</v>
      </c>
      <c r="R65" s="10" t="s">
        <v>74</v>
      </c>
      <c r="S65" s="10" t="s">
        <v>169</v>
      </c>
      <c r="T65" s="10">
        <v>43</v>
      </c>
      <c r="U65" s="10" t="s">
        <v>37</v>
      </c>
      <c r="V65" s="10">
        <v>9999</v>
      </c>
      <c r="W65" s="10" t="s">
        <v>34</v>
      </c>
      <c r="X65" s="10" t="str">
        <f t="shared" si="11"/>
        <v>萨丽麻橡胶底马蹄形织锦树叶灰;60*90cm【强烈止滑;;升级加厚】【亚麻】</v>
      </c>
      <c r="Y65" s="10" t="s">
        <v>34</v>
      </c>
      <c r="Z65" s="10" t="s">
        <v>34</v>
      </c>
      <c r="AA65" s="10" t="str">
        <f t="shared" si="12"/>
        <v>萨丽麻橡胶底马蹄形织锦树叶灰;60*90cm【强烈止滑;;升级加厚】【亚麻】</v>
      </c>
      <c r="AB65" s="10" t="str">
        <f t="shared" si="13"/>
        <v>3710544359757314</v>
      </c>
      <c r="AC65" s="10" t="s">
        <v>34</v>
      </c>
    </row>
    <row r="66" ht="15" spans="1:29">
      <c r="A66" s="10">
        <v>65</v>
      </c>
      <c r="B66" s="10" t="s">
        <v>29</v>
      </c>
      <c r="C66" s="10" t="s">
        <v>69</v>
      </c>
      <c r="D66" s="10" t="s">
        <v>70</v>
      </c>
      <c r="E66" s="10" t="s">
        <v>170</v>
      </c>
      <c r="F66" s="11" t="str" cm="1">
        <f t="array" ref="F66">_xlfn.IFS(ISNUMBER(FIND("硅藻",D66&amp;E66)),"硅藻泥",ISNUMBER(FIND("菠萝圈",D66&amp;E66)),"菠萝圈",AND(ISNUMBER(FIND("水晶绒",D66&amp;E66)),ISNUMBER(FIND("包边",D66&amp;E66))),"包边水晶绒",ISNUMBER(FIND("水晶绒",D66&amp;E66)),"水晶绒",ISNUMBER(FIND("天鹅绒",D66&amp;E66)),"天鹅绒",ISNUMBER(FIND("丝圈",D66&amp;E66)),"丝圈",ISNUMBER(FIND("仿羊绒",D66&amp;E66)),"仿羊绒",ISNUMBER(FIND("亚麻",D66&amp;E66)),"亚麻",ISNUMBER(FIND("皮革",D66&amp;E66)),"皮革",ISNUMBER(FIND("金钻绒",D66&amp;E66)),"金钻绒")</f>
        <v>亚麻</v>
      </c>
      <c r="G66" s="10" t="str">
        <f t="shared" si="9"/>
        <v>亚麻</v>
      </c>
      <c r="H66" s="11" t="str" cm="1">
        <f t="array" ref="H66">_wpsfn.REGEXP(_wpsfn.REGEXP(E66,"([至乘xX✖_\-])",2,"*"),"\d+\*\d+(?:[\*\+]\d+)*")</f>
        <v>40*60</v>
      </c>
      <c r="I66" s="10">
        <f t="shared" si="10"/>
        <v>0.24</v>
      </c>
      <c r="J66" s="10">
        <v>40</v>
      </c>
      <c r="K66" s="10">
        <v>60</v>
      </c>
      <c r="L66" s="10">
        <f t="shared" si="14"/>
        <v>0.3024</v>
      </c>
      <c r="M66" s="10">
        <f t="shared" si="15"/>
        <v>3.888</v>
      </c>
      <c r="N66" s="10"/>
      <c r="O66" s="10"/>
      <c r="P66" s="10" t="s">
        <v>72</v>
      </c>
      <c r="Q66" s="10" t="s">
        <v>73</v>
      </c>
      <c r="R66" s="10" t="s">
        <v>74</v>
      </c>
      <c r="S66" s="10" t="s">
        <v>171</v>
      </c>
      <c r="T66" s="10">
        <v>21.8</v>
      </c>
      <c r="U66" s="10" t="s">
        <v>37</v>
      </c>
      <c r="V66" s="10">
        <v>9999</v>
      </c>
      <c r="W66" s="10" t="s">
        <v>34</v>
      </c>
      <c r="X66" s="10" t="str">
        <f t="shared" si="11"/>
        <v>萨丽麻橡胶底芳兰喜乐灰马蹄形;40*60cm【吸水;;厂家直销】【亚麻】</v>
      </c>
      <c r="Y66" s="10" t="s">
        <v>34</v>
      </c>
      <c r="Z66" s="10" t="s">
        <v>34</v>
      </c>
      <c r="AA66" s="10" t="str">
        <f t="shared" si="12"/>
        <v>萨丽麻橡胶底芳兰喜乐灰马蹄形;40*60cm【吸水;;厂家直销】【亚麻】</v>
      </c>
      <c r="AB66" s="10" t="str">
        <f t="shared" si="13"/>
        <v>3710544359757570</v>
      </c>
      <c r="AC66" s="10" t="s">
        <v>34</v>
      </c>
    </row>
    <row r="67" ht="15" spans="1:29">
      <c r="A67" s="10">
        <v>66</v>
      </c>
      <c r="B67" s="10" t="s">
        <v>29</v>
      </c>
      <c r="C67" s="10" t="s">
        <v>69</v>
      </c>
      <c r="D67" s="10" t="s">
        <v>70</v>
      </c>
      <c r="E67" s="10" t="s">
        <v>172</v>
      </c>
      <c r="F67" s="11" t="str" cm="1">
        <f t="array" ref="F67">_xlfn.IFS(ISNUMBER(FIND("硅藻",D67&amp;E67)),"硅藻泥",ISNUMBER(FIND("菠萝圈",D67&amp;E67)),"菠萝圈",AND(ISNUMBER(FIND("水晶绒",D67&amp;E67)),ISNUMBER(FIND("包边",D67&amp;E67))),"包边水晶绒",ISNUMBER(FIND("水晶绒",D67&amp;E67)),"水晶绒",ISNUMBER(FIND("天鹅绒",D67&amp;E67)),"天鹅绒",ISNUMBER(FIND("丝圈",D67&amp;E67)),"丝圈",ISNUMBER(FIND("仿羊绒",D67&amp;E67)),"仿羊绒",ISNUMBER(FIND("亚麻",D67&amp;E67)),"亚麻",ISNUMBER(FIND("皮革",D67&amp;E67)),"皮革",ISNUMBER(FIND("金钻绒",D67&amp;E67)),"金钻绒")</f>
        <v>亚麻</v>
      </c>
      <c r="G67" s="10" t="str">
        <f t="shared" ref="G67:G98" si="16">F67</f>
        <v>亚麻</v>
      </c>
      <c r="H67" s="11" t="str" cm="1">
        <f t="array" ref="H67">_wpsfn.REGEXP(_wpsfn.REGEXP(E67,"([至乘xX✖_\-])",2,"*"),"\d+\*\d+(?:[\*\+]\d+)*")</f>
        <v>50*80</v>
      </c>
      <c r="I67" s="10">
        <f t="shared" ref="I67:I98" si="17">J67*K67/10000</f>
        <v>0.4</v>
      </c>
      <c r="J67" s="10">
        <v>50</v>
      </c>
      <c r="K67" s="10">
        <v>80</v>
      </c>
      <c r="L67" s="10">
        <f t="shared" si="14"/>
        <v>0.504</v>
      </c>
      <c r="M67" s="10">
        <f t="shared" si="15"/>
        <v>6.48</v>
      </c>
      <c r="N67" s="10"/>
      <c r="O67" s="10"/>
      <c r="P67" s="10" t="s">
        <v>72</v>
      </c>
      <c r="Q67" s="10" t="s">
        <v>73</v>
      </c>
      <c r="R67" s="10" t="s">
        <v>74</v>
      </c>
      <c r="S67" s="10" t="s">
        <v>173</v>
      </c>
      <c r="T67" s="10">
        <v>35.8</v>
      </c>
      <c r="U67" s="10" t="s">
        <v>37</v>
      </c>
      <c r="V67" s="10">
        <v>9999</v>
      </c>
      <c r="W67" s="10" t="s">
        <v>34</v>
      </c>
      <c r="X67" s="10" t="str">
        <f t="shared" ref="X67:X98" si="18">E67</f>
        <v>萨丽麻橡胶底芳兰喜乐灰马蹄形;50*80cm【Q弹舒适;;品质选择】【亚麻】</v>
      </c>
      <c r="Y67" s="10" t="s">
        <v>34</v>
      </c>
      <c r="Z67" s="10" t="s">
        <v>34</v>
      </c>
      <c r="AA67" s="10" t="str">
        <f t="shared" ref="AA67:AA98" si="19">X67</f>
        <v>萨丽麻橡胶底芳兰喜乐灰马蹄形;50*80cm【Q弹舒适;;品质选择】【亚麻】</v>
      </c>
      <c r="AB67" s="10" t="str">
        <f t="shared" ref="AB67:AB98" si="20">S67</f>
        <v>3710544359757826</v>
      </c>
      <c r="AC67" s="10" t="s">
        <v>34</v>
      </c>
    </row>
    <row r="68" ht="15" spans="1:29">
      <c r="A68" s="10">
        <v>67</v>
      </c>
      <c r="B68" s="10" t="s">
        <v>29</v>
      </c>
      <c r="C68" s="10" t="s">
        <v>69</v>
      </c>
      <c r="D68" s="10" t="s">
        <v>70</v>
      </c>
      <c r="E68" s="10" t="s">
        <v>174</v>
      </c>
      <c r="F68" s="11" t="str" cm="1">
        <f t="array" ref="F68">_xlfn.IFS(ISNUMBER(FIND("硅藻",D68&amp;E68)),"硅藻泥",ISNUMBER(FIND("菠萝圈",D68&amp;E68)),"菠萝圈",AND(ISNUMBER(FIND("水晶绒",D68&amp;E68)),ISNUMBER(FIND("包边",D68&amp;E68))),"包边水晶绒",ISNUMBER(FIND("水晶绒",D68&amp;E68)),"水晶绒",ISNUMBER(FIND("天鹅绒",D68&amp;E68)),"天鹅绒",ISNUMBER(FIND("丝圈",D68&amp;E68)),"丝圈",ISNUMBER(FIND("仿羊绒",D68&amp;E68)),"仿羊绒",ISNUMBER(FIND("亚麻",D68&amp;E68)),"亚麻",ISNUMBER(FIND("皮革",D68&amp;E68)),"皮革",ISNUMBER(FIND("金钻绒",D68&amp;E68)),"金钻绒")</f>
        <v>亚麻</v>
      </c>
      <c r="G68" s="10" t="str">
        <f t="shared" si="16"/>
        <v>亚麻</v>
      </c>
      <c r="H68" s="11" t="str" cm="1">
        <f t="array" ref="H68">_wpsfn.REGEXP(_wpsfn.REGEXP(E68,"([至乘xX✖_\-])",2,"*"),"\d+\*\d+(?:[\*\+]\d+)*")</f>
        <v>60*90</v>
      </c>
      <c r="I68" s="10">
        <f t="shared" si="17"/>
        <v>0.54</v>
      </c>
      <c r="J68" s="10">
        <v>60</v>
      </c>
      <c r="K68" s="10">
        <v>90</v>
      </c>
      <c r="L68" s="10">
        <f t="shared" si="14"/>
        <v>0.6804</v>
      </c>
      <c r="M68" s="10">
        <f t="shared" si="15"/>
        <v>8.748</v>
      </c>
      <c r="N68" s="10"/>
      <c r="O68" s="10"/>
      <c r="P68" s="10" t="s">
        <v>72</v>
      </c>
      <c r="Q68" s="10" t="s">
        <v>73</v>
      </c>
      <c r="R68" s="10" t="s">
        <v>74</v>
      </c>
      <c r="S68" s="10" t="s">
        <v>175</v>
      </c>
      <c r="T68" s="10">
        <v>43</v>
      </c>
      <c r="U68" s="10" t="s">
        <v>37</v>
      </c>
      <c r="V68" s="10">
        <v>9999</v>
      </c>
      <c r="W68" s="10" t="s">
        <v>34</v>
      </c>
      <c r="X68" s="10" t="str">
        <f t="shared" si="18"/>
        <v>萨丽麻橡胶底芳兰喜乐灰马蹄形;60*90cm【强烈止滑;;升级加厚】【亚麻】</v>
      </c>
      <c r="Y68" s="10" t="s">
        <v>34</v>
      </c>
      <c r="Z68" s="10" t="s">
        <v>34</v>
      </c>
      <c r="AA68" s="10" t="str">
        <f t="shared" si="19"/>
        <v>萨丽麻橡胶底芳兰喜乐灰马蹄形;60*90cm【强烈止滑;;升级加厚】【亚麻】</v>
      </c>
      <c r="AB68" s="10" t="str">
        <f t="shared" si="20"/>
        <v>3710544359758082</v>
      </c>
      <c r="AC68" s="10" t="s">
        <v>34</v>
      </c>
    </row>
    <row r="69" ht="15" spans="1:29">
      <c r="A69" s="10">
        <v>68</v>
      </c>
      <c r="B69" s="10" t="s">
        <v>29</v>
      </c>
      <c r="C69" s="10" t="s">
        <v>69</v>
      </c>
      <c r="D69" s="10" t="s">
        <v>70</v>
      </c>
      <c r="E69" s="10" t="s">
        <v>176</v>
      </c>
      <c r="F69" s="11" t="str" cm="1">
        <f t="array" ref="F69">_xlfn.IFS(ISNUMBER(FIND("硅藻",D69&amp;E69)),"硅藻泥",ISNUMBER(FIND("菠萝圈",D69&amp;E69)),"菠萝圈",AND(ISNUMBER(FIND("水晶绒",D69&amp;E69)),ISNUMBER(FIND("包边",D69&amp;E69))),"包边水晶绒",ISNUMBER(FIND("水晶绒",D69&amp;E69)),"水晶绒",ISNUMBER(FIND("天鹅绒",D69&amp;E69)),"天鹅绒",ISNUMBER(FIND("丝圈",D69&amp;E69)),"丝圈",ISNUMBER(FIND("仿羊绒",D69&amp;E69)),"仿羊绒",ISNUMBER(FIND("亚麻",D69&amp;E69)),"亚麻",ISNUMBER(FIND("皮革",D69&amp;E69)),"皮革",ISNUMBER(FIND("金钻绒",D69&amp;E69)),"金钻绒")</f>
        <v>亚麻</v>
      </c>
      <c r="G69" s="10" t="str">
        <f t="shared" si="16"/>
        <v>亚麻</v>
      </c>
      <c r="H69" s="11" t="str" cm="1">
        <f t="array" ref="H69">_wpsfn.REGEXP(_wpsfn.REGEXP(E69,"([至乘xX✖_\-])",2,"*"),"\d+\*\d+(?:[\*\+]\d+)*")</f>
        <v>40*60</v>
      </c>
      <c r="I69" s="10">
        <f t="shared" si="17"/>
        <v>0.24</v>
      </c>
      <c r="J69" s="10">
        <v>40</v>
      </c>
      <c r="K69" s="10">
        <v>60</v>
      </c>
      <c r="L69" s="10">
        <f t="shared" si="14"/>
        <v>0.3024</v>
      </c>
      <c r="M69" s="10">
        <f t="shared" si="15"/>
        <v>3.888</v>
      </c>
      <c r="N69" s="10"/>
      <c r="O69" s="10"/>
      <c r="P69" s="10" t="s">
        <v>72</v>
      </c>
      <c r="Q69" s="10" t="s">
        <v>73</v>
      </c>
      <c r="R69" s="10" t="s">
        <v>74</v>
      </c>
      <c r="S69" s="10" t="s">
        <v>177</v>
      </c>
      <c r="T69" s="10">
        <v>21.8</v>
      </c>
      <c r="U69" s="10" t="s">
        <v>37</v>
      </c>
      <c r="V69" s="10">
        <v>9999</v>
      </c>
      <c r="W69" s="10" t="s">
        <v>34</v>
      </c>
      <c r="X69" s="10" t="str">
        <f t="shared" si="18"/>
        <v>萨丽麻橡胶底芳兰喜乐咖马蹄形;40*60cm【吸水;;厂家直销】【亚麻】</v>
      </c>
      <c r="Y69" s="10" t="s">
        <v>34</v>
      </c>
      <c r="Z69" s="10" t="s">
        <v>34</v>
      </c>
      <c r="AA69" s="10" t="str">
        <f t="shared" si="19"/>
        <v>萨丽麻橡胶底芳兰喜乐咖马蹄形;40*60cm【吸水;;厂家直销】【亚麻】</v>
      </c>
      <c r="AB69" s="10" t="str">
        <f t="shared" si="20"/>
        <v>3710544359758338</v>
      </c>
      <c r="AC69" s="10" t="s">
        <v>34</v>
      </c>
    </row>
    <row r="70" ht="15" spans="1:29">
      <c r="A70" s="10">
        <v>69</v>
      </c>
      <c r="B70" s="10" t="s">
        <v>29</v>
      </c>
      <c r="C70" s="10" t="s">
        <v>69</v>
      </c>
      <c r="D70" s="10" t="s">
        <v>70</v>
      </c>
      <c r="E70" s="10" t="s">
        <v>178</v>
      </c>
      <c r="F70" s="11" t="str" cm="1">
        <f t="array" ref="F70">_xlfn.IFS(ISNUMBER(FIND("硅藻",D70&amp;E70)),"硅藻泥",ISNUMBER(FIND("菠萝圈",D70&amp;E70)),"菠萝圈",AND(ISNUMBER(FIND("水晶绒",D70&amp;E70)),ISNUMBER(FIND("包边",D70&amp;E70))),"包边水晶绒",ISNUMBER(FIND("水晶绒",D70&amp;E70)),"水晶绒",ISNUMBER(FIND("天鹅绒",D70&amp;E70)),"天鹅绒",ISNUMBER(FIND("丝圈",D70&amp;E70)),"丝圈",ISNUMBER(FIND("仿羊绒",D70&amp;E70)),"仿羊绒",ISNUMBER(FIND("亚麻",D70&amp;E70)),"亚麻",ISNUMBER(FIND("皮革",D70&amp;E70)),"皮革",ISNUMBER(FIND("金钻绒",D70&amp;E70)),"金钻绒")</f>
        <v>亚麻</v>
      </c>
      <c r="G70" s="10" t="str">
        <f t="shared" si="16"/>
        <v>亚麻</v>
      </c>
      <c r="H70" s="11" t="str" cm="1">
        <f t="array" ref="H70">_wpsfn.REGEXP(_wpsfn.REGEXP(E70,"([至乘xX✖_\-])",2,"*"),"\d+\*\d+(?:[\*\+]\d+)*")</f>
        <v>50*80</v>
      </c>
      <c r="I70" s="10">
        <f t="shared" si="17"/>
        <v>0.4</v>
      </c>
      <c r="J70" s="10">
        <v>50</v>
      </c>
      <c r="K70" s="10">
        <v>80</v>
      </c>
      <c r="L70" s="10">
        <f t="shared" si="14"/>
        <v>0.504</v>
      </c>
      <c r="M70" s="10">
        <f t="shared" si="15"/>
        <v>6.48</v>
      </c>
      <c r="N70" s="10"/>
      <c r="O70" s="10"/>
      <c r="P70" s="10" t="s">
        <v>72</v>
      </c>
      <c r="Q70" s="10" t="s">
        <v>73</v>
      </c>
      <c r="R70" s="10" t="s">
        <v>74</v>
      </c>
      <c r="S70" s="10" t="s">
        <v>179</v>
      </c>
      <c r="T70" s="10">
        <v>35.8</v>
      </c>
      <c r="U70" s="10" t="s">
        <v>37</v>
      </c>
      <c r="V70" s="10">
        <v>9999</v>
      </c>
      <c r="W70" s="10" t="s">
        <v>34</v>
      </c>
      <c r="X70" s="10" t="str">
        <f t="shared" si="18"/>
        <v>萨丽麻橡胶底芳兰喜乐咖马蹄形;50*80cm【Q弹舒适;;品质选择】【亚麻】</v>
      </c>
      <c r="Y70" s="10" t="s">
        <v>34</v>
      </c>
      <c r="Z70" s="10" t="s">
        <v>34</v>
      </c>
      <c r="AA70" s="10" t="str">
        <f t="shared" si="19"/>
        <v>萨丽麻橡胶底芳兰喜乐咖马蹄形;50*80cm【Q弹舒适;;品质选择】【亚麻】</v>
      </c>
      <c r="AB70" s="10" t="str">
        <f t="shared" si="20"/>
        <v>3710544359758594</v>
      </c>
      <c r="AC70" s="10" t="s">
        <v>34</v>
      </c>
    </row>
    <row r="71" ht="15" spans="1:29">
      <c r="A71" s="10">
        <v>70</v>
      </c>
      <c r="B71" s="10" t="s">
        <v>29</v>
      </c>
      <c r="C71" s="10" t="s">
        <v>69</v>
      </c>
      <c r="D71" s="10" t="s">
        <v>70</v>
      </c>
      <c r="E71" s="10" t="s">
        <v>180</v>
      </c>
      <c r="F71" s="11" t="str" cm="1">
        <f t="array" ref="F71">_xlfn.IFS(ISNUMBER(FIND("硅藻",D71&amp;E71)),"硅藻泥",ISNUMBER(FIND("菠萝圈",D71&amp;E71)),"菠萝圈",AND(ISNUMBER(FIND("水晶绒",D71&amp;E71)),ISNUMBER(FIND("包边",D71&amp;E71))),"包边水晶绒",ISNUMBER(FIND("水晶绒",D71&amp;E71)),"水晶绒",ISNUMBER(FIND("天鹅绒",D71&amp;E71)),"天鹅绒",ISNUMBER(FIND("丝圈",D71&amp;E71)),"丝圈",ISNUMBER(FIND("仿羊绒",D71&amp;E71)),"仿羊绒",ISNUMBER(FIND("亚麻",D71&amp;E71)),"亚麻",ISNUMBER(FIND("皮革",D71&amp;E71)),"皮革",ISNUMBER(FIND("金钻绒",D71&amp;E71)),"金钻绒")</f>
        <v>亚麻</v>
      </c>
      <c r="G71" s="10" t="str">
        <f t="shared" si="16"/>
        <v>亚麻</v>
      </c>
      <c r="H71" s="11" t="str" cm="1">
        <f t="array" ref="H71">_wpsfn.REGEXP(_wpsfn.REGEXP(E71,"([至乘xX✖_\-])",2,"*"),"\d+\*\d+(?:[\*\+]\d+)*")</f>
        <v>60*90</v>
      </c>
      <c r="I71" s="10">
        <f t="shared" si="17"/>
        <v>0.54</v>
      </c>
      <c r="J71" s="10">
        <v>60</v>
      </c>
      <c r="K71" s="10">
        <v>90</v>
      </c>
      <c r="L71" s="10">
        <f t="shared" si="14"/>
        <v>0.6804</v>
      </c>
      <c r="M71" s="10">
        <f t="shared" si="15"/>
        <v>8.748</v>
      </c>
      <c r="N71" s="10"/>
      <c r="O71" s="10"/>
      <c r="P71" s="10" t="s">
        <v>72</v>
      </c>
      <c r="Q71" s="10" t="s">
        <v>73</v>
      </c>
      <c r="R71" s="10" t="s">
        <v>74</v>
      </c>
      <c r="S71" s="10" t="s">
        <v>181</v>
      </c>
      <c r="T71" s="10">
        <v>43</v>
      </c>
      <c r="U71" s="10" t="s">
        <v>37</v>
      </c>
      <c r="V71" s="10">
        <v>9999</v>
      </c>
      <c r="W71" s="10" t="s">
        <v>34</v>
      </c>
      <c r="X71" s="10" t="str">
        <f t="shared" si="18"/>
        <v>萨丽麻橡胶底芳兰喜乐咖马蹄形;60*90cm【强烈止滑;;升级加厚】【亚麻】</v>
      </c>
      <c r="Y71" s="10" t="s">
        <v>34</v>
      </c>
      <c r="Z71" s="10" t="s">
        <v>34</v>
      </c>
      <c r="AA71" s="10" t="str">
        <f t="shared" si="19"/>
        <v>萨丽麻橡胶底芳兰喜乐咖马蹄形;60*90cm【强烈止滑;;升级加厚】【亚麻】</v>
      </c>
      <c r="AB71" s="10" t="str">
        <f t="shared" si="20"/>
        <v>3710544359758850</v>
      </c>
      <c r="AC71" s="10" t="s">
        <v>34</v>
      </c>
    </row>
    <row r="72" ht="15" spans="1:29">
      <c r="A72" s="10">
        <v>71</v>
      </c>
      <c r="B72" s="10" t="s">
        <v>29</v>
      </c>
      <c r="C72" s="10" t="s">
        <v>69</v>
      </c>
      <c r="D72" s="10" t="s">
        <v>70</v>
      </c>
      <c r="E72" s="10" t="s">
        <v>182</v>
      </c>
      <c r="F72" s="11" t="str" cm="1">
        <f t="array" ref="F72">_xlfn.IFS(ISNUMBER(FIND("硅藻",D72&amp;E72)),"硅藻泥",ISNUMBER(FIND("菠萝圈",D72&amp;E72)),"菠萝圈",AND(ISNUMBER(FIND("水晶绒",D72&amp;E72)),ISNUMBER(FIND("包边",D72&amp;E72))),"包边水晶绒",ISNUMBER(FIND("水晶绒",D72&amp;E72)),"水晶绒",ISNUMBER(FIND("天鹅绒",D72&amp;E72)),"天鹅绒",ISNUMBER(FIND("丝圈",D72&amp;E72)),"丝圈",ISNUMBER(FIND("仿羊绒",D72&amp;E72)),"仿羊绒",ISNUMBER(FIND("亚麻",D72&amp;E72)),"亚麻",ISNUMBER(FIND("皮革",D72&amp;E72)),"皮革",ISNUMBER(FIND("金钻绒",D72&amp;E72)),"金钻绒")</f>
        <v>亚麻</v>
      </c>
      <c r="G72" s="10" t="str">
        <f t="shared" si="16"/>
        <v>亚麻</v>
      </c>
      <c r="H72" s="11" t="str" cm="1">
        <f t="array" ref="H72">_wpsfn.REGEXP(_wpsfn.REGEXP(E72,"([至乘xX✖_\-])",2,"*"),"\d+\*\d+(?:[\*\+]\d+)*")</f>
        <v>45*70</v>
      </c>
      <c r="I72" s="10">
        <f t="shared" si="17"/>
        <v>0.315</v>
      </c>
      <c r="J72" s="10">
        <v>45</v>
      </c>
      <c r="K72" s="10">
        <v>70</v>
      </c>
      <c r="L72" s="10">
        <f t="shared" si="14"/>
        <v>0.3969</v>
      </c>
      <c r="M72" s="10">
        <f t="shared" si="15"/>
        <v>5.103</v>
      </c>
      <c r="N72" s="10"/>
      <c r="O72" s="10"/>
      <c r="P72" s="10" t="s">
        <v>72</v>
      </c>
      <c r="Q72" s="10" t="s">
        <v>34</v>
      </c>
      <c r="R72" s="10" t="s">
        <v>74</v>
      </c>
      <c r="S72" s="10" t="s">
        <v>183</v>
      </c>
      <c r="T72" s="10">
        <v>28</v>
      </c>
      <c r="U72" s="10" t="s">
        <v>37</v>
      </c>
      <c r="V72" s="10">
        <v>9999</v>
      </c>
      <c r="W72" s="10" t="s">
        <v>34</v>
      </c>
      <c r="X72" s="10" t="str">
        <f t="shared" si="18"/>
        <v>萨丽麻橡胶底马蹄形麻纹回框;45*70cm【耐磨吸水;品质加厚】【亚麻】</v>
      </c>
      <c r="Y72" s="10" t="s">
        <v>34</v>
      </c>
      <c r="Z72" s="10" t="s">
        <v>34</v>
      </c>
      <c r="AA72" s="10" t="str">
        <f t="shared" si="19"/>
        <v>萨丽麻橡胶底马蹄形麻纹回框;45*70cm【耐磨吸水;品质加厚】【亚麻】</v>
      </c>
      <c r="AB72" s="10" t="str">
        <f t="shared" si="20"/>
        <v>3710681171266050</v>
      </c>
      <c r="AC72" s="10" t="s">
        <v>34</v>
      </c>
    </row>
    <row r="73" ht="15" spans="1:29">
      <c r="A73" s="10">
        <v>72</v>
      </c>
      <c r="B73" s="10" t="s">
        <v>29</v>
      </c>
      <c r="C73" s="10" t="s">
        <v>69</v>
      </c>
      <c r="D73" s="10" t="s">
        <v>70</v>
      </c>
      <c r="E73" s="10" t="s">
        <v>184</v>
      </c>
      <c r="F73" s="11" t="str" cm="1">
        <f t="array" ref="F73">_xlfn.IFS(ISNUMBER(FIND("硅藻",D73&amp;E73)),"硅藻泥",ISNUMBER(FIND("菠萝圈",D73&amp;E73)),"菠萝圈",AND(ISNUMBER(FIND("水晶绒",D73&amp;E73)),ISNUMBER(FIND("包边",D73&amp;E73))),"包边水晶绒",ISNUMBER(FIND("水晶绒",D73&amp;E73)),"水晶绒",ISNUMBER(FIND("天鹅绒",D73&amp;E73)),"天鹅绒",ISNUMBER(FIND("丝圈",D73&amp;E73)),"丝圈",ISNUMBER(FIND("仿羊绒",D73&amp;E73)),"仿羊绒",ISNUMBER(FIND("亚麻",D73&amp;E73)),"亚麻",ISNUMBER(FIND("皮革",D73&amp;E73)),"皮革",ISNUMBER(FIND("金钻绒",D73&amp;E73)),"金钻绒")</f>
        <v>亚麻</v>
      </c>
      <c r="G73" s="10" t="str">
        <f t="shared" si="16"/>
        <v>亚麻</v>
      </c>
      <c r="H73" s="11" t="str" cm="1">
        <f t="array" ref="H73">_wpsfn.REGEXP(_wpsfn.REGEXP(E73,"([至乘xX✖_\-])",2,"*"),"\d+\*\d+(?:[\*\+]\d+)*")</f>
        <v>45*70</v>
      </c>
      <c r="I73" s="10">
        <f t="shared" si="17"/>
        <v>0.315</v>
      </c>
      <c r="J73" s="10">
        <v>45</v>
      </c>
      <c r="K73" s="10">
        <v>70</v>
      </c>
      <c r="L73" s="10">
        <f t="shared" si="14"/>
        <v>0.3969</v>
      </c>
      <c r="M73" s="10">
        <f t="shared" si="15"/>
        <v>5.103</v>
      </c>
      <c r="N73" s="10"/>
      <c r="O73" s="10"/>
      <c r="P73" s="10" t="s">
        <v>72</v>
      </c>
      <c r="Q73" s="10" t="s">
        <v>34</v>
      </c>
      <c r="R73" s="10" t="s">
        <v>74</v>
      </c>
      <c r="S73" s="10" t="s">
        <v>185</v>
      </c>
      <c r="T73" s="10">
        <v>28</v>
      </c>
      <c r="U73" s="10" t="s">
        <v>37</v>
      </c>
      <c r="V73" s="10">
        <v>9999</v>
      </c>
      <c r="W73" s="10" t="s">
        <v>34</v>
      </c>
      <c r="X73" s="10" t="str">
        <f t="shared" si="18"/>
        <v>萨丽麻橡胶底方形麻纹回框;45*70cm【耐磨吸水;品质加厚】【亚麻】</v>
      </c>
      <c r="Y73" s="10" t="s">
        <v>34</v>
      </c>
      <c r="Z73" s="10" t="s">
        <v>34</v>
      </c>
      <c r="AA73" s="10" t="str">
        <f t="shared" si="19"/>
        <v>萨丽麻橡胶底方形麻纹回框;45*70cm【耐磨吸水;品质加厚】【亚麻】</v>
      </c>
      <c r="AB73" s="10" t="str">
        <f t="shared" si="20"/>
        <v>3710681171266306</v>
      </c>
      <c r="AC73" s="10" t="s">
        <v>34</v>
      </c>
    </row>
    <row r="74" ht="15" spans="1:29">
      <c r="A74" s="10">
        <v>73</v>
      </c>
      <c r="B74" s="10" t="s">
        <v>29</v>
      </c>
      <c r="C74" s="10" t="s">
        <v>69</v>
      </c>
      <c r="D74" s="10" t="s">
        <v>70</v>
      </c>
      <c r="E74" s="10" t="s">
        <v>186</v>
      </c>
      <c r="F74" s="11" t="str" cm="1">
        <f t="array" ref="F74">_xlfn.IFS(ISNUMBER(FIND("硅藻",D74&amp;E74)),"硅藻泥",ISNUMBER(FIND("菠萝圈",D74&amp;E74)),"菠萝圈",AND(ISNUMBER(FIND("水晶绒",D74&amp;E74)),ISNUMBER(FIND("包边",D74&amp;E74))),"包边水晶绒",ISNUMBER(FIND("水晶绒",D74&amp;E74)),"水晶绒",ISNUMBER(FIND("天鹅绒",D74&amp;E74)),"天鹅绒",ISNUMBER(FIND("丝圈",D74&amp;E74)),"丝圈",ISNUMBER(FIND("仿羊绒",D74&amp;E74)),"仿羊绒",ISNUMBER(FIND("亚麻",D74&amp;E74)),"亚麻",ISNUMBER(FIND("皮革",D74&amp;E74)),"皮革",ISNUMBER(FIND("金钻绒",D74&amp;E74)),"金钻绒")</f>
        <v>亚麻</v>
      </c>
      <c r="G74" s="10" t="str">
        <f t="shared" si="16"/>
        <v>亚麻</v>
      </c>
      <c r="H74" s="11" t="str" cm="1">
        <f t="array" ref="H74">_wpsfn.REGEXP(_wpsfn.REGEXP(E74,"([至乘xX✖_\-])",2,"*"),"\d+\*\d+(?:[\*\+]\d+)*")</f>
        <v>45*70</v>
      </c>
      <c r="I74" s="10">
        <f t="shared" si="17"/>
        <v>0.315</v>
      </c>
      <c r="J74" s="10">
        <v>45</v>
      </c>
      <c r="K74" s="10">
        <v>70</v>
      </c>
      <c r="L74" s="10">
        <f t="shared" si="14"/>
        <v>0.3969</v>
      </c>
      <c r="M74" s="10">
        <f t="shared" si="15"/>
        <v>5.103</v>
      </c>
      <c r="N74" s="10"/>
      <c r="O74" s="10"/>
      <c r="P74" s="10" t="s">
        <v>72</v>
      </c>
      <c r="Q74" s="10" t="s">
        <v>34</v>
      </c>
      <c r="R74" s="10" t="s">
        <v>74</v>
      </c>
      <c r="S74" s="10" t="s">
        <v>187</v>
      </c>
      <c r="T74" s="10">
        <v>28</v>
      </c>
      <c r="U74" s="10" t="s">
        <v>37</v>
      </c>
      <c r="V74" s="10">
        <v>9999</v>
      </c>
      <c r="W74" s="10" t="s">
        <v>34</v>
      </c>
      <c r="X74" s="10" t="str">
        <f t="shared" si="18"/>
        <v>萨丽麻橡胶底马蹄形麻纹春风;45*70cm【耐磨吸水;品质加厚】【亚麻】</v>
      </c>
      <c r="Y74" s="10" t="s">
        <v>34</v>
      </c>
      <c r="Z74" s="10" t="s">
        <v>34</v>
      </c>
      <c r="AA74" s="10" t="str">
        <f t="shared" si="19"/>
        <v>萨丽麻橡胶底马蹄形麻纹春风;45*70cm【耐磨吸水;品质加厚】【亚麻】</v>
      </c>
      <c r="AB74" s="10" t="str">
        <f t="shared" si="20"/>
        <v>3710681171266562</v>
      </c>
      <c r="AC74" s="10" t="s">
        <v>34</v>
      </c>
    </row>
    <row r="75" ht="15" spans="1:29">
      <c r="A75" s="10">
        <v>74</v>
      </c>
      <c r="B75" s="10" t="s">
        <v>29</v>
      </c>
      <c r="C75" s="10" t="s">
        <v>69</v>
      </c>
      <c r="D75" s="10" t="s">
        <v>70</v>
      </c>
      <c r="E75" s="10" t="s">
        <v>188</v>
      </c>
      <c r="F75" s="11" t="str" cm="1">
        <f t="array" ref="F75">_xlfn.IFS(ISNUMBER(FIND("硅藻",D75&amp;E75)),"硅藻泥",ISNUMBER(FIND("菠萝圈",D75&amp;E75)),"菠萝圈",AND(ISNUMBER(FIND("水晶绒",D75&amp;E75)),ISNUMBER(FIND("包边",D75&amp;E75))),"包边水晶绒",ISNUMBER(FIND("水晶绒",D75&amp;E75)),"水晶绒",ISNUMBER(FIND("天鹅绒",D75&amp;E75)),"天鹅绒",ISNUMBER(FIND("丝圈",D75&amp;E75)),"丝圈",ISNUMBER(FIND("仿羊绒",D75&amp;E75)),"仿羊绒",ISNUMBER(FIND("亚麻",D75&amp;E75)),"亚麻",ISNUMBER(FIND("皮革",D75&amp;E75)),"皮革",ISNUMBER(FIND("金钻绒",D75&amp;E75)),"金钻绒")</f>
        <v>亚麻</v>
      </c>
      <c r="G75" s="10" t="str">
        <f t="shared" si="16"/>
        <v>亚麻</v>
      </c>
      <c r="H75" s="11" t="str" cm="1">
        <f t="array" ref="H75">_wpsfn.REGEXP(_wpsfn.REGEXP(E75,"([至乘xX✖_\-])",2,"*"),"\d+\*\d+(?:[\*\+]\d+)*")</f>
        <v>45*70</v>
      </c>
      <c r="I75" s="10">
        <f t="shared" si="17"/>
        <v>0.315</v>
      </c>
      <c r="J75" s="10">
        <v>45</v>
      </c>
      <c r="K75" s="10">
        <v>70</v>
      </c>
      <c r="L75" s="10">
        <f t="shared" si="14"/>
        <v>0.3969</v>
      </c>
      <c r="M75" s="10">
        <f t="shared" si="15"/>
        <v>5.103</v>
      </c>
      <c r="N75" s="10"/>
      <c r="O75" s="10"/>
      <c r="P75" s="10" t="s">
        <v>72</v>
      </c>
      <c r="Q75" s="10" t="s">
        <v>34</v>
      </c>
      <c r="R75" s="10" t="s">
        <v>74</v>
      </c>
      <c r="S75" s="10" t="s">
        <v>189</v>
      </c>
      <c r="T75" s="10">
        <v>28</v>
      </c>
      <c r="U75" s="10" t="s">
        <v>37</v>
      </c>
      <c r="V75" s="10">
        <v>9999</v>
      </c>
      <c r="W75" s="10" t="s">
        <v>34</v>
      </c>
      <c r="X75" s="10" t="str">
        <f t="shared" si="18"/>
        <v>萨丽麻橡胶底方形麻纹春风;45*70cm【耐磨吸水;品质加厚】【亚麻】</v>
      </c>
      <c r="Y75" s="10" t="s">
        <v>34</v>
      </c>
      <c r="Z75" s="10" t="s">
        <v>34</v>
      </c>
      <c r="AA75" s="10" t="str">
        <f t="shared" si="19"/>
        <v>萨丽麻橡胶底方形麻纹春风;45*70cm【耐磨吸水;品质加厚】【亚麻】</v>
      </c>
      <c r="AB75" s="10" t="str">
        <f t="shared" si="20"/>
        <v>3710681171266818</v>
      </c>
      <c r="AC75" s="10" t="s">
        <v>34</v>
      </c>
    </row>
    <row r="76" ht="15" spans="1:29">
      <c r="A76" s="10">
        <v>75</v>
      </c>
      <c r="B76" s="10" t="s">
        <v>29</v>
      </c>
      <c r="C76" s="10" t="s">
        <v>69</v>
      </c>
      <c r="D76" s="10" t="s">
        <v>70</v>
      </c>
      <c r="E76" s="10" t="s">
        <v>190</v>
      </c>
      <c r="F76" s="11" t="str" cm="1">
        <f t="array" ref="F76">_xlfn.IFS(ISNUMBER(FIND("硅藻",D76&amp;E76)),"硅藻泥",ISNUMBER(FIND("菠萝圈",D76&amp;E76)),"菠萝圈",AND(ISNUMBER(FIND("水晶绒",D76&amp;E76)),ISNUMBER(FIND("包边",D76&amp;E76))),"包边水晶绒",ISNUMBER(FIND("水晶绒",D76&amp;E76)),"水晶绒",ISNUMBER(FIND("天鹅绒",D76&amp;E76)),"天鹅绒",ISNUMBER(FIND("丝圈",D76&amp;E76)),"丝圈",ISNUMBER(FIND("仿羊绒",D76&amp;E76)),"仿羊绒",ISNUMBER(FIND("亚麻",D76&amp;E76)),"亚麻",ISNUMBER(FIND("皮革",D76&amp;E76)),"皮革",ISNUMBER(FIND("金钻绒",D76&amp;E76)),"金钻绒")</f>
        <v>亚麻</v>
      </c>
      <c r="G76" s="10" t="str">
        <f t="shared" si="16"/>
        <v>亚麻</v>
      </c>
      <c r="H76" s="11" t="str" cm="1">
        <f t="array" ref="H76">_wpsfn.REGEXP(_wpsfn.REGEXP(E76,"([至乘xX✖_\-])",2,"*"),"\d+\*\d+(?:[\*\+]\d+)*")</f>
        <v>45*70</v>
      </c>
      <c r="I76" s="10">
        <f t="shared" si="17"/>
        <v>0.315</v>
      </c>
      <c r="J76" s="10">
        <v>45</v>
      </c>
      <c r="K76" s="10">
        <v>70</v>
      </c>
      <c r="L76" s="10">
        <f t="shared" si="14"/>
        <v>0.3969</v>
      </c>
      <c r="M76" s="10">
        <f t="shared" si="15"/>
        <v>5.103</v>
      </c>
      <c r="N76" s="10"/>
      <c r="O76" s="10"/>
      <c r="P76" s="10" t="s">
        <v>72</v>
      </c>
      <c r="Q76" s="10" t="s">
        <v>34</v>
      </c>
      <c r="R76" s="10" t="s">
        <v>74</v>
      </c>
      <c r="S76" s="10" t="s">
        <v>191</v>
      </c>
      <c r="T76" s="10">
        <v>28</v>
      </c>
      <c r="U76" s="10" t="s">
        <v>37</v>
      </c>
      <c r="V76" s="10">
        <v>9999</v>
      </c>
      <c r="W76" s="10" t="s">
        <v>34</v>
      </c>
      <c r="X76" s="10" t="str">
        <f t="shared" si="18"/>
        <v>萨丽麻橡胶底马蹄形麻纹香叶;45*70cm【耐磨吸水;品质加厚】【亚麻】</v>
      </c>
      <c r="Y76" s="10" t="s">
        <v>34</v>
      </c>
      <c r="Z76" s="10" t="s">
        <v>34</v>
      </c>
      <c r="AA76" s="10" t="str">
        <f t="shared" si="19"/>
        <v>萨丽麻橡胶底马蹄形麻纹香叶;45*70cm【耐磨吸水;品质加厚】【亚麻】</v>
      </c>
      <c r="AB76" s="10" t="str">
        <f t="shared" si="20"/>
        <v>3710681171267074</v>
      </c>
      <c r="AC76" s="10" t="s">
        <v>34</v>
      </c>
    </row>
    <row r="77" ht="15" spans="1:29">
      <c r="A77" s="10">
        <v>76</v>
      </c>
      <c r="B77" s="10" t="s">
        <v>29</v>
      </c>
      <c r="C77" s="10" t="s">
        <v>69</v>
      </c>
      <c r="D77" s="10" t="s">
        <v>70</v>
      </c>
      <c r="E77" s="10" t="s">
        <v>192</v>
      </c>
      <c r="F77" s="11" t="str" cm="1">
        <f t="array" ref="F77">_xlfn.IFS(ISNUMBER(FIND("硅藻",D77&amp;E77)),"硅藻泥",ISNUMBER(FIND("菠萝圈",D77&amp;E77)),"菠萝圈",AND(ISNUMBER(FIND("水晶绒",D77&amp;E77)),ISNUMBER(FIND("包边",D77&amp;E77))),"包边水晶绒",ISNUMBER(FIND("水晶绒",D77&amp;E77)),"水晶绒",ISNUMBER(FIND("天鹅绒",D77&amp;E77)),"天鹅绒",ISNUMBER(FIND("丝圈",D77&amp;E77)),"丝圈",ISNUMBER(FIND("仿羊绒",D77&amp;E77)),"仿羊绒",ISNUMBER(FIND("亚麻",D77&amp;E77)),"亚麻",ISNUMBER(FIND("皮革",D77&amp;E77)),"皮革",ISNUMBER(FIND("金钻绒",D77&amp;E77)),"金钻绒")</f>
        <v>亚麻</v>
      </c>
      <c r="G77" s="10" t="str">
        <f t="shared" si="16"/>
        <v>亚麻</v>
      </c>
      <c r="H77" s="11" t="str" cm="1">
        <f t="array" ref="H77">_wpsfn.REGEXP(_wpsfn.REGEXP(E77,"([至乘xX✖_\-])",2,"*"),"\d+\*\d+(?:[\*\+]\d+)*")</f>
        <v>45*70</v>
      </c>
      <c r="I77" s="10">
        <f t="shared" si="17"/>
        <v>0.315</v>
      </c>
      <c r="J77" s="10">
        <v>45</v>
      </c>
      <c r="K77" s="10">
        <v>70</v>
      </c>
      <c r="L77" s="10">
        <f t="shared" si="14"/>
        <v>0.3969</v>
      </c>
      <c r="M77" s="10">
        <f t="shared" si="15"/>
        <v>5.103</v>
      </c>
      <c r="N77" s="10"/>
      <c r="O77" s="10"/>
      <c r="P77" s="10" t="s">
        <v>72</v>
      </c>
      <c r="Q77" s="10" t="s">
        <v>34</v>
      </c>
      <c r="R77" s="10" t="s">
        <v>74</v>
      </c>
      <c r="S77" s="10" t="s">
        <v>193</v>
      </c>
      <c r="T77" s="10">
        <v>28</v>
      </c>
      <c r="U77" s="10" t="s">
        <v>37</v>
      </c>
      <c r="V77" s="10">
        <v>9999</v>
      </c>
      <c r="W77" s="10" t="s">
        <v>34</v>
      </c>
      <c r="X77" s="10" t="str">
        <f t="shared" si="18"/>
        <v>萨丽麻橡胶底方形麻纹香叶;45*70cm【耐磨吸水;品质加厚】【亚麻】</v>
      </c>
      <c r="Y77" s="10" t="s">
        <v>34</v>
      </c>
      <c r="Z77" s="10" t="s">
        <v>34</v>
      </c>
      <c r="AA77" s="10" t="str">
        <f t="shared" si="19"/>
        <v>萨丽麻橡胶底方形麻纹香叶;45*70cm【耐磨吸水;品质加厚】【亚麻】</v>
      </c>
      <c r="AB77" s="10" t="str">
        <f t="shared" si="20"/>
        <v>3710681171267330</v>
      </c>
      <c r="AC77" s="10" t="s">
        <v>34</v>
      </c>
    </row>
    <row r="78" ht="15" spans="1:29">
      <c r="A78" s="10">
        <v>77</v>
      </c>
      <c r="B78" s="10" t="s">
        <v>29</v>
      </c>
      <c r="C78" s="10" t="s">
        <v>69</v>
      </c>
      <c r="D78" s="10" t="s">
        <v>70</v>
      </c>
      <c r="E78" s="10" t="s">
        <v>194</v>
      </c>
      <c r="F78" s="11" t="str" cm="1">
        <f t="array" ref="F78">_xlfn.IFS(ISNUMBER(FIND("硅藻",D78&amp;E78)),"硅藻泥",ISNUMBER(FIND("菠萝圈",D78&amp;E78)),"菠萝圈",AND(ISNUMBER(FIND("水晶绒",D78&amp;E78)),ISNUMBER(FIND("包边",D78&amp;E78))),"包边水晶绒",ISNUMBER(FIND("水晶绒",D78&amp;E78)),"水晶绒",ISNUMBER(FIND("天鹅绒",D78&amp;E78)),"天鹅绒",ISNUMBER(FIND("丝圈",D78&amp;E78)),"丝圈",ISNUMBER(FIND("仿羊绒",D78&amp;E78)),"仿羊绒",ISNUMBER(FIND("亚麻",D78&amp;E78)),"亚麻",ISNUMBER(FIND("皮革",D78&amp;E78)),"皮革",ISNUMBER(FIND("金钻绒",D78&amp;E78)),"金钻绒")</f>
        <v>亚麻</v>
      </c>
      <c r="G78" s="10" t="str">
        <f t="shared" si="16"/>
        <v>亚麻</v>
      </c>
      <c r="H78" s="11" t="str" cm="1">
        <f t="array" ref="H78">_wpsfn.REGEXP(_wpsfn.REGEXP(E78,"([至乘xX✖_\-])",2,"*"),"\d+\*\d+(?:[\*\+]\d+)*")</f>
        <v>45*70</v>
      </c>
      <c r="I78" s="10">
        <f t="shared" si="17"/>
        <v>0.315</v>
      </c>
      <c r="J78" s="10">
        <v>45</v>
      </c>
      <c r="K78" s="10">
        <v>70</v>
      </c>
      <c r="L78" s="10">
        <f t="shared" si="14"/>
        <v>0.3969</v>
      </c>
      <c r="M78" s="10">
        <f t="shared" si="15"/>
        <v>5.103</v>
      </c>
      <c r="N78" s="10"/>
      <c r="O78" s="10"/>
      <c r="P78" s="10" t="s">
        <v>72</v>
      </c>
      <c r="Q78" s="10" t="s">
        <v>34</v>
      </c>
      <c r="R78" s="10" t="s">
        <v>74</v>
      </c>
      <c r="S78" s="10" t="s">
        <v>195</v>
      </c>
      <c r="T78" s="10">
        <v>28</v>
      </c>
      <c r="U78" s="10" t="s">
        <v>37</v>
      </c>
      <c r="V78" s="10">
        <v>9999</v>
      </c>
      <c r="W78" s="10" t="s">
        <v>34</v>
      </c>
      <c r="X78" s="10" t="str">
        <f t="shared" si="18"/>
        <v>萨丽麻橡胶底马蹄形斑驳编织棕;45*70cm【耐磨吸水;品质加厚】【亚麻】</v>
      </c>
      <c r="Y78" s="10" t="s">
        <v>34</v>
      </c>
      <c r="Z78" s="10" t="s">
        <v>34</v>
      </c>
      <c r="AA78" s="10" t="str">
        <f t="shared" si="19"/>
        <v>萨丽麻橡胶底马蹄形斑驳编织棕;45*70cm【耐磨吸水;品质加厚】【亚麻】</v>
      </c>
      <c r="AB78" s="10" t="str">
        <f t="shared" si="20"/>
        <v>3710681171267586</v>
      </c>
      <c r="AC78" s="10" t="s">
        <v>34</v>
      </c>
    </row>
    <row r="79" ht="15" spans="1:29">
      <c r="A79" s="10">
        <v>78</v>
      </c>
      <c r="B79" s="10" t="s">
        <v>29</v>
      </c>
      <c r="C79" s="10" t="s">
        <v>69</v>
      </c>
      <c r="D79" s="10" t="s">
        <v>70</v>
      </c>
      <c r="E79" s="10" t="s">
        <v>196</v>
      </c>
      <c r="F79" s="11" t="str" cm="1">
        <f t="array" ref="F79">_xlfn.IFS(ISNUMBER(FIND("硅藻",D79&amp;E79)),"硅藻泥",ISNUMBER(FIND("菠萝圈",D79&amp;E79)),"菠萝圈",AND(ISNUMBER(FIND("水晶绒",D79&amp;E79)),ISNUMBER(FIND("包边",D79&amp;E79))),"包边水晶绒",ISNUMBER(FIND("水晶绒",D79&amp;E79)),"水晶绒",ISNUMBER(FIND("天鹅绒",D79&amp;E79)),"天鹅绒",ISNUMBER(FIND("丝圈",D79&amp;E79)),"丝圈",ISNUMBER(FIND("仿羊绒",D79&amp;E79)),"仿羊绒",ISNUMBER(FIND("亚麻",D79&amp;E79)),"亚麻",ISNUMBER(FIND("皮革",D79&amp;E79)),"皮革",ISNUMBER(FIND("金钻绒",D79&amp;E79)),"金钻绒")</f>
        <v>亚麻</v>
      </c>
      <c r="G79" s="10" t="str">
        <f t="shared" si="16"/>
        <v>亚麻</v>
      </c>
      <c r="H79" s="11" t="str" cm="1">
        <f t="array" ref="H79">_wpsfn.REGEXP(_wpsfn.REGEXP(E79,"([至乘xX✖_\-])",2,"*"),"\d+\*\d+(?:[\*\+]\d+)*")</f>
        <v>45*70</v>
      </c>
      <c r="I79" s="10">
        <f t="shared" si="17"/>
        <v>0.315</v>
      </c>
      <c r="J79" s="10">
        <v>45</v>
      </c>
      <c r="K79" s="10">
        <v>70</v>
      </c>
      <c r="L79" s="10">
        <f t="shared" si="14"/>
        <v>0.3969</v>
      </c>
      <c r="M79" s="10">
        <f t="shared" si="15"/>
        <v>5.103</v>
      </c>
      <c r="N79" s="10"/>
      <c r="O79" s="10"/>
      <c r="P79" s="10" t="s">
        <v>72</v>
      </c>
      <c r="Q79" s="10" t="s">
        <v>34</v>
      </c>
      <c r="R79" s="10" t="s">
        <v>74</v>
      </c>
      <c r="S79" s="10" t="s">
        <v>197</v>
      </c>
      <c r="T79" s="10">
        <v>28</v>
      </c>
      <c r="U79" s="10" t="s">
        <v>37</v>
      </c>
      <c r="V79" s="10">
        <v>9999</v>
      </c>
      <c r="W79" s="10" t="s">
        <v>34</v>
      </c>
      <c r="X79" s="10" t="str">
        <f t="shared" si="18"/>
        <v>萨丽麻橡胶底马蹄形斑驳编织灰;45*70cm【耐磨吸水;品质加厚】【亚麻】</v>
      </c>
      <c r="Y79" s="10" t="s">
        <v>34</v>
      </c>
      <c r="Z79" s="10" t="s">
        <v>34</v>
      </c>
      <c r="AA79" s="10" t="str">
        <f t="shared" si="19"/>
        <v>萨丽麻橡胶底马蹄形斑驳编织灰;45*70cm【耐磨吸水;品质加厚】【亚麻】</v>
      </c>
      <c r="AB79" s="10" t="str">
        <f t="shared" si="20"/>
        <v>3710681171267842</v>
      </c>
      <c r="AC79" s="10" t="s">
        <v>34</v>
      </c>
    </row>
    <row r="80" ht="15" spans="1:29">
      <c r="A80" s="10">
        <v>79</v>
      </c>
      <c r="B80" s="10" t="s">
        <v>29</v>
      </c>
      <c r="C80" s="10" t="s">
        <v>69</v>
      </c>
      <c r="D80" s="10" t="s">
        <v>70</v>
      </c>
      <c r="E80" s="10" t="s">
        <v>198</v>
      </c>
      <c r="F80" s="11" t="str" cm="1">
        <f t="array" ref="F80">_xlfn.IFS(ISNUMBER(FIND("硅藻",D80&amp;E80)),"硅藻泥",ISNUMBER(FIND("菠萝圈",D80&amp;E80)),"菠萝圈",AND(ISNUMBER(FIND("水晶绒",D80&amp;E80)),ISNUMBER(FIND("包边",D80&amp;E80))),"包边水晶绒",ISNUMBER(FIND("水晶绒",D80&amp;E80)),"水晶绒",ISNUMBER(FIND("天鹅绒",D80&amp;E80)),"天鹅绒",ISNUMBER(FIND("丝圈",D80&amp;E80)),"丝圈",ISNUMBER(FIND("仿羊绒",D80&amp;E80)),"仿羊绒",ISNUMBER(FIND("亚麻",D80&amp;E80)),"亚麻",ISNUMBER(FIND("皮革",D80&amp;E80)),"皮革",ISNUMBER(FIND("金钻绒",D80&amp;E80)),"金钻绒")</f>
        <v>亚麻</v>
      </c>
      <c r="G80" s="10" t="str">
        <f t="shared" si="16"/>
        <v>亚麻</v>
      </c>
      <c r="H80" s="11" t="str" cm="1">
        <f t="array" ref="H80">_wpsfn.REGEXP(_wpsfn.REGEXP(E80,"([至乘xX✖_\-])",2,"*"),"\d+\*\d+(?:[\*\+]\d+)*")</f>
        <v>45*70</v>
      </c>
      <c r="I80" s="10">
        <f t="shared" si="17"/>
        <v>0.315</v>
      </c>
      <c r="J80" s="10">
        <v>45</v>
      </c>
      <c r="K80" s="10">
        <v>70</v>
      </c>
      <c r="L80" s="10">
        <f t="shared" si="14"/>
        <v>0.3969</v>
      </c>
      <c r="M80" s="10">
        <f t="shared" si="15"/>
        <v>5.103</v>
      </c>
      <c r="N80" s="10"/>
      <c r="O80" s="10"/>
      <c r="P80" s="10" t="s">
        <v>72</v>
      </c>
      <c r="Q80" s="10" t="s">
        <v>34</v>
      </c>
      <c r="R80" s="10" t="s">
        <v>74</v>
      </c>
      <c r="S80" s="10" t="s">
        <v>199</v>
      </c>
      <c r="T80" s="10">
        <v>28</v>
      </c>
      <c r="U80" s="10" t="s">
        <v>37</v>
      </c>
      <c r="V80" s="10">
        <v>9999</v>
      </c>
      <c r="W80" s="10" t="s">
        <v>34</v>
      </c>
      <c r="X80" s="10" t="str">
        <f t="shared" si="18"/>
        <v>萨丽麻橡胶底马蹄形几何棕;45*70cm【耐磨吸水;品质加厚】【亚麻】</v>
      </c>
      <c r="Y80" s="10" t="s">
        <v>34</v>
      </c>
      <c r="Z80" s="10" t="s">
        <v>34</v>
      </c>
      <c r="AA80" s="10" t="str">
        <f t="shared" si="19"/>
        <v>萨丽麻橡胶底马蹄形几何棕;45*70cm【耐磨吸水;品质加厚】【亚麻】</v>
      </c>
      <c r="AB80" s="10" t="str">
        <f t="shared" si="20"/>
        <v>3710681171268098</v>
      </c>
      <c r="AC80" s="10" t="s">
        <v>34</v>
      </c>
    </row>
    <row r="81" ht="15" spans="1:29">
      <c r="A81" s="10">
        <v>80</v>
      </c>
      <c r="B81" s="10" t="s">
        <v>29</v>
      </c>
      <c r="C81" s="10" t="s">
        <v>69</v>
      </c>
      <c r="D81" s="10" t="s">
        <v>70</v>
      </c>
      <c r="E81" s="10" t="s">
        <v>200</v>
      </c>
      <c r="F81" s="11" t="str" cm="1">
        <f t="array" ref="F81">_xlfn.IFS(ISNUMBER(FIND("硅藻",D81&amp;E81)),"硅藻泥",ISNUMBER(FIND("菠萝圈",D81&amp;E81)),"菠萝圈",AND(ISNUMBER(FIND("水晶绒",D81&amp;E81)),ISNUMBER(FIND("包边",D81&amp;E81))),"包边水晶绒",ISNUMBER(FIND("水晶绒",D81&amp;E81)),"水晶绒",ISNUMBER(FIND("天鹅绒",D81&amp;E81)),"天鹅绒",ISNUMBER(FIND("丝圈",D81&amp;E81)),"丝圈",ISNUMBER(FIND("仿羊绒",D81&amp;E81)),"仿羊绒",ISNUMBER(FIND("亚麻",D81&amp;E81)),"亚麻",ISNUMBER(FIND("皮革",D81&amp;E81)),"皮革",ISNUMBER(FIND("金钻绒",D81&amp;E81)),"金钻绒")</f>
        <v>亚麻</v>
      </c>
      <c r="G81" s="10" t="str">
        <f t="shared" si="16"/>
        <v>亚麻</v>
      </c>
      <c r="H81" s="11" t="str" cm="1">
        <f t="array" ref="H81">_wpsfn.REGEXP(_wpsfn.REGEXP(E81,"([至乘xX✖_\-])",2,"*"),"\d+\*\d+(?:[\*\+]\d+)*")</f>
        <v>45*70</v>
      </c>
      <c r="I81" s="10">
        <f t="shared" si="17"/>
        <v>0.315</v>
      </c>
      <c r="J81" s="10">
        <v>45</v>
      </c>
      <c r="K81" s="10">
        <v>70</v>
      </c>
      <c r="L81" s="10">
        <f t="shared" si="14"/>
        <v>0.3969</v>
      </c>
      <c r="M81" s="10">
        <f t="shared" si="15"/>
        <v>5.103</v>
      </c>
      <c r="N81" s="10"/>
      <c r="O81" s="10"/>
      <c r="P81" s="10" t="s">
        <v>72</v>
      </c>
      <c r="Q81" s="10" t="s">
        <v>34</v>
      </c>
      <c r="R81" s="10" t="s">
        <v>74</v>
      </c>
      <c r="S81" s="10" t="s">
        <v>201</v>
      </c>
      <c r="T81" s="10">
        <v>28</v>
      </c>
      <c r="U81" s="10" t="s">
        <v>37</v>
      </c>
      <c r="V81" s="10">
        <v>9999</v>
      </c>
      <c r="W81" s="10" t="s">
        <v>34</v>
      </c>
      <c r="X81" s="10" t="str">
        <f t="shared" si="18"/>
        <v>萨丽麻橡胶底马蹄形几何灰;45*70cm【耐磨吸水;品质加厚】【亚麻】</v>
      </c>
      <c r="Y81" s="10" t="s">
        <v>34</v>
      </c>
      <c r="Z81" s="10" t="s">
        <v>34</v>
      </c>
      <c r="AA81" s="10" t="str">
        <f t="shared" si="19"/>
        <v>萨丽麻橡胶底马蹄形几何灰;45*70cm【耐磨吸水;品质加厚】【亚麻】</v>
      </c>
      <c r="AB81" s="10" t="str">
        <f t="shared" si="20"/>
        <v>3710681171268354</v>
      </c>
      <c r="AC81" s="10" t="s">
        <v>34</v>
      </c>
    </row>
    <row r="82" ht="15" spans="1:29">
      <c r="A82" s="10">
        <v>81</v>
      </c>
      <c r="B82" s="10" t="s">
        <v>29</v>
      </c>
      <c r="C82" s="10" t="s">
        <v>69</v>
      </c>
      <c r="D82" s="10" t="s">
        <v>70</v>
      </c>
      <c r="E82" s="10" t="s">
        <v>202</v>
      </c>
      <c r="F82" s="11" t="str" cm="1">
        <f t="array" ref="F82">_xlfn.IFS(ISNUMBER(FIND("硅藻",D82&amp;E82)),"硅藻泥",ISNUMBER(FIND("菠萝圈",D82&amp;E82)),"菠萝圈",AND(ISNUMBER(FIND("水晶绒",D82&amp;E82)),ISNUMBER(FIND("包边",D82&amp;E82))),"包边水晶绒",ISNUMBER(FIND("水晶绒",D82&amp;E82)),"水晶绒",ISNUMBER(FIND("天鹅绒",D82&amp;E82)),"天鹅绒",ISNUMBER(FIND("丝圈",D82&amp;E82)),"丝圈",ISNUMBER(FIND("仿羊绒",D82&amp;E82)),"仿羊绒",ISNUMBER(FIND("亚麻",D82&amp;E82)),"亚麻",ISNUMBER(FIND("皮革",D82&amp;E82)),"皮革",ISNUMBER(FIND("金钻绒",D82&amp;E82)),"金钻绒")</f>
        <v>亚麻</v>
      </c>
      <c r="G82" s="10" t="str">
        <f t="shared" si="16"/>
        <v>亚麻</v>
      </c>
      <c r="H82" s="11" t="str" cm="1">
        <f t="array" ref="H82">_wpsfn.REGEXP(_wpsfn.REGEXP(E82,"([至乘xX✖_\-])",2,"*"),"\d+\*\d+(?:[\*\+]\d+)*")</f>
        <v>45*70</v>
      </c>
      <c r="I82" s="10">
        <f t="shared" si="17"/>
        <v>0.315</v>
      </c>
      <c r="J82" s="10">
        <v>45</v>
      </c>
      <c r="K82" s="10">
        <v>70</v>
      </c>
      <c r="L82" s="10">
        <f t="shared" si="14"/>
        <v>0.3969</v>
      </c>
      <c r="M82" s="10">
        <f t="shared" si="15"/>
        <v>5.103</v>
      </c>
      <c r="N82" s="10"/>
      <c r="O82" s="10"/>
      <c r="P82" s="10" t="s">
        <v>72</v>
      </c>
      <c r="Q82" s="10" t="s">
        <v>34</v>
      </c>
      <c r="R82" s="10" t="s">
        <v>74</v>
      </c>
      <c r="S82" s="10" t="s">
        <v>203</v>
      </c>
      <c r="T82" s="10">
        <v>28</v>
      </c>
      <c r="U82" s="10" t="s">
        <v>37</v>
      </c>
      <c r="V82" s="10">
        <v>9999</v>
      </c>
      <c r="W82" s="10" t="s">
        <v>34</v>
      </c>
      <c r="X82" s="10" t="str">
        <f t="shared" si="18"/>
        <v>萨丽麻橡胶底马蹄形沐然方格棕;45*70cm【耐磨吸水;品质加厚】【亚麻】</v>
      </c>
      <c r="Y82" s="10" t="s">
        <v>34</v>
      </c>
      <c r="Z82" s="10" t="s">
        <v>34</v>
      </c>
      <c r="AA82" s="10" t="str">
        <f t="shared" si="19"/>
        <v>萨丽麻橡胶底马蹄形沐然方格棕;45*70cm【耐磨吸水;品质加厚】【亚麻】</v>
      </c>
      <c r="AB82" s="10" t="str">
        <f t="shared" si="20"/>
        <v>3710681171268610</v>
      </c>
      <c r="AC82" s="10" t="s">
        <v>34</v>
      </c>
    </row>
    <row r="83" ht="15" spans="1:29">
      <c r="A83" s="10">
        <v>82</v>
      </c>
      <c r="B83" s="10" t="s">
        <v>29</v>
      </c>
      <c r="C83" s="10" t="s">
        <v>69</v>
      </c>
      <c r="D83" s="10" t="s">
        <v>70</v>
      </c>
      <c r="E83" s="10" t="s">
        <v>204</v>
      </c>
      <c r="F83" s="11" t="str" cm="1">
        <f t="array" ref="F83">_xlfn.IFS(ISNUMBER(FIND("硅藻",D83&amp;E83)),"硅藻泥",ISNUMBER(FIND("菠萝圈",D83&amp;E83)),"菠萝圈",AND(ISNUMBER(FIND("水晶绒",D83&amp;E83)),ISNUMBER(FIND("包边",D83&amp;E83))),"包边水晶绒",ISNUMBER(FIND("水晶绒",D83&amp;E83)),"水晶绒",ISNUMBER(FIND("天鹅绒",D83&amp;E83)),"天鹅绒",ISNUMBER(FIND("丝圈",D83&amp;E83)),"丝圈",ISNUMBER(FIND("仿羊绒",D83&amp;E83)),"仿羊绒",ISNUMBER(FIND("亚麻",D83&amp;E83)),"亚麻",ISNUMBER(FIND("皮革",D83&amp;E83)),"皮革",ISNUMBER(FIND("金钻绒",D83&amp;E83)),"金钻绒")</f>
        <v>亚麻</v>
      </c>
      <c r="G83" s="10" t="str">
        <f t="shared" si="16"/>
        <v>亚麻</v>
      </c>
      <c r="H83" s="11" t="str" cm="1">
        <f t="array" ref="H83">_wpsfn.REGEXP(_wpsfn.REGEXP(E83,"([至乘xX✖_\-])",2,"*"),"\d+\*\d+(?:[\*\+]\d+)*")</f>
        <v>45*70</v>
      </c>
      <c r="I83" s="10">
        <f t="shared" si="17"/>
        <v>0.315</v>
      </c>
      <c r="J83" s="10">
        <v>45</v>
      </c>
      <c r="K83" s="10">
        <v>70</v>
      </c>
      <c r="L83" s="10">
        <f t="shared" ref="L83:L101" si="21">1.26*I83</f>
        <v>0.3969</v>
      </c>
      <c r="M83" s="10">
        <f t="shared" ref="M83:M101" si="22">16.2*I83</f>
        <v>5.103</v>
      </c>
      <c r="N83" s="10"/>
      <c r="O83" s="10"/>
      <c r="P83" s="10" t="s">
        <v>72</v>
      </c>
      <c r="Q83" s="10" t="s">
        <v>34</v>
      </c>
      <c r="R83" s="10" t="s">
        <v>74</v>
      </c>
      <c r="S83" s="10" t="s">
        <v>205</v>
      </c>
      <c r="T83" s="10">
        <v>28</v>
      </c>
      <c r="U83" s="10" t="s">
        <v>37</v>
      </c>
      <c r="V83" s="10">
        <v>9999</v>
      </c>
      <c r="W83" s="10" t="s">
        <v>34</v>
      </c>
      <c r="X83" s="10" t="str">
        <f t="shared" si="18"/>
        <v>萨丽麻橡胶底马蹄形沐然方格灰;45*70cm【耐磨吸水;品质加厚】【亚麻】</v>
      </c>
      <c r="Y83" s="10" t="s">
        <v>34</v>
      </c>
      <c r="Z83" s="10" t="s">
        <v>34</v>
      </c>
      <c r="AA83" s="10" t="str">
        <f t="shared" si="19"/>
        <v>萨丽麻橡胶底马蹄形沐然方格灰;45*70cm【耐磨吸水;品质加厚】【亚麻】</v>
      </c>
      <c r="AB83" s="10" t="str">
        <f t="shared" si="20"/>
        <v>3710681171268866</v>
      </c>
      <c r="AC83" s="10" t="s">
        <v>34</v>
      </c>
    </row>
    <row r="84" ht="15" spans="1:29">
      <c r="A84" s="10">
        <v>83</v>
      </c>
      <c r="B84" s="10" t="s">
        <v>29</v>
      </c>
      <c r="C84" s="10" t="s">
        <v>69</v>
      </c>
      <c r="D84" s="10" t="s">
        <v>70</v>
      </c>
      <c r="E84" s="10" t="s">
        <v>206</v>
      </c>
      <c r="F84" s="11" t="str" cm="1">
        <f t="array" ref="F84">_xlfn.IFS(ISNUMBER(FIND("硅藻",D84&amp;E84)),"硅藻泥",ISNUMBER(FIND("菠萝圈",D84&amp;E84)),"菠萝圈",AND(ISNUMBER(FIND("水晶绒",D84&amp;E84)),ISNUMBER(FIND("包边",D84&amp;E84))),"包边水晶绒",ISNUMBER(FIND("水晶绒",D84&amp;E84)),"水晶绒",ISNUMBER(FIND("天鹅绒",D84&amp;E84)),"天鹅绒",ISNUMBER(FIND("丝圈",D84&amp;E84)),"丝圈",ISNUMBER(FIND("仿羊绒",D84&amp;E84)),"仿羊绒",ISNUMBER(FIND("亚麻",D84&amp;E84)),"亚麻",ISNUMBER(FIND("皮革",D84&amp;E84)),"皮革",ISNUMBER(FIND("金钻绒",D84&amp;E84)),"金钻绒")</f>
        <v>亚麻</v>
      </c>
      <c r="G84" s="10" t="str">
        <f t="shared" si="16"/>
        <v>亚麻</v>
      </c>
      <c r="H84" s="11" t="str" cm="1">
        <f t="array" ref="H84">_wpsfn.REGEXP(_wpsfn.REGEXP(E84,"([至乘xX✖_\-])",2,"*"),"\d+\*\d+(?:[\*\+]\d+)*")</f>
        <v>45*70</v>
      </c>
      <c r="I84" s="10">
        <f t="shared" si="17"/>
        <v>0.315</v>
      </c>
      <c r="J84" s="10">
        <v>45</v>
      </c>
      <c r="K84" s="10">
        <v>70</v>
      </c>
      <c r="L84" s="10">
        <f t="shared" si="21"/>
        <v>0.3969</v>
      </c>
      <c r="M84" s="10">
        <f t="shared" si="22"/>
        <v>5.103</v>
      </c>
      <c r="N84" s="10"/>
      <c r="O84" s="10"/>
      <c r="P84" s="10" t="s">
        <v>72</v>
      </c>
      <c r="Q84" s="10" t="s">
        <v>34</v>
      </c>
      <c r="R84" s="10" t="s">
        <v>74</v>
      </c>
      <c r="S84" s="10" t="s">
        <v>207</v>
      </c>
      <c r="T84" s="10">
        <v>28</v>
      </c>
      <c r="U84" s="10" t="s">
        <v>37</v>
      </c>
      <c r="V84" s="10">
        <v>9999</v>
      </c>
      <c r="W84" s="10" t="s">
        <v>34</v>
      </c>
      <c r="X84" s="10" t="str">
        <f t="shared" si="18"/>
        <v>萨丽麻橡胶底马蹄形素雅菱纹棕;45*70cm【耐磨吸水;品质加厚】【亚麻】</v>
      </c>
      <c r="Y84" s="10" t="s">
        <v>34</v>
      </c>
      <c r="Z84" s="10" t="s">
        <v>34</v>
      </c>
      <c r="AA84" s="10" t="str">
        <f t="shared" si="19"/>
        <v>萨丽麻橡胶底马蹄形素雅菱纹棕;45*70cm【耐磨吸水;品质加厚】【亚麻】</v>
      </c>
      <c r="AB84" s="10" t="str">
        <f t="shared" si="20"/>
        <v>3710681171269122</v>
      </c>
      <c r="AC84" s="10" t="s">
        <v>34</v>
      </c>
    </row>
    <row r="85" ht="15" spans="1:29">
      <c r="A85" s="10">
        <v>84</v>
      </c>
      <c r="B85" s="10" t="s">
        <v>29</v>
      </c>
      <c r="C85" s="10" t="s">
        <v>69</v>
      </c>
      <c r="D85" s="10" t="s">
        <v>70</v>
      </c>
      <c r="E85" s="10" t="s">
        <v>208</v>
      </c>
      <c r="F85" s="11" t="str" cm="1">
        <f t="array" ref="F85">_xlfn.IFS(ISNUMBER(FIND("硅藻",D85&amp;E85)),"硅藻泥",ISNUMBER(FIND("菠萝圈",D85&amp;E85)),"菠萝圈",AND(ISNUMBER(FIND("水晶绒",D85&amp;E85)),ISNUMBER(FIND("包边",D85&amp;E85))),"包边水晶绒",ISNUMBER(FIND("水晶绒",D85&amp;E85)),"水晶绒",ISNUMBER(FIND("天鹅绒",D85&amp;E85)),"天鹅绒",ISNUMBER(FIND("丝圈",D85&amp;E85)),"丝圈",ISNUMBER(FIND("仿羊绒",D85&amp;E85)),"仿羊绒",ISNUMBER(FIND("亚麻",D85&amp;E85)),"亚麻",ISNUMBER(FIND("皮革",D85&amp;E85)),"皮革",ISNUMBER(FIND("金钻绒",D85&amp;E85)),"金钻绒")</f>
        <v>亚麻</v>
      </c>
      <c r="G85" s="10" t="str">
        <f t="shared" si="16"/>
        <v>亚麻</v>
      </c>
      <c r="H85" s="11" t="str" cm="1">
        <f t="array" ref="H85">_wpsfn.REGEXP(_wpsfn.REGEXP(E85,"([至乘xX✖_\-])",2,"*"),"\d+\*\d+(?:[\*\+]\d+)*")</f>
        <v>45*70</v>
      </c>
      <c r="I85" s="10">
        <f t="shared" si="17"/>
        <v>0.315</v>
      </c>
      <c r="J85" s="10">
        <v>45</v>
      </c>
      <c r="K85" s="10">
        <v>70</v>
      </c>
      <c r="L85" s="10">
        <f t="shared" si="21"/>
        <v>0.3969</v>
      </c>
      <c r="M85" s="10">
        <f t="shared" si="22"/>
        <v>5.103</v>
      </c>
      <c r="N85" s="10"/>
      <c r="O85" s="10"/>
      <c r="P85" s="10" t="s">
        <v>72</v>
      </c>
      <c r="Q85" s="10" t="s">
        <v>34</v>
      </c>
      <c r="R85" s="10" t="s">
        <v>74</v>
      </c>
      <c r="S85" s="10" t="s">
        <v>209</v>
      </c>
      <c r="T85" s="10">
        <v>28</v>
      </c>
      <c r="U85" s="10" t="s">
        <v>37</v>
      </c>
      <c r="V85" s="10">
        <v>9999</v>
      </c>
      <c r="W85" s="10" t="s">
        <v>34</v>
      </c>
      <c r="X85" s="10" t="str">
        <f t="shared" si="18"/>
        <v>萨丽麻橡胶底马蹄形素雅菱纹灰;45*70cm【耐磨吸水;品质加厚】【亚麻】</v>
      </c>
      <c r="Y85" s="10" t="s">
        <v>34</v>
      </c>
      <c r="Z85" s="10" t="s">
        <v>34</v>
      </c>
      <c r="AA85" s="10" t="str">
        <f t="shared" si="19"/>
        <v>萨丽麻橡胶底马蹄形素雅菱纹灰;45*70cm【耐磨吸水;品质加厚】【亚麻】</v>
      </c>
      <c r="AB85" s="10" t="str">
        <f t="shared" si="20"/>
        <v>3710681171269378</v>
      </c>
      <c r="AC85" s="10" t="s">
        <v>34</v>
      </c>
    </row>
    <row r="86" ht="15" spans="1:29">
      <c r="A86" s="10">
        <v>85</v>
      </c>
      <c r="B86" s="10" t="s">
        <v>29</v>
      </c>
      <c r="C86" s="10" t="s">
        <v>69</v>
      </c>
      <c r="D86" s="10" t="s">
        <v>70</v>
      </c>
      <c r="E86" s="10" t="s">
        <v>210</v>
      </c>
      <c r="F86" s="11" t="str" cm="1">
        <f t="array" ref="F86">_xlfn.IFS(ISNUMBER(FIND("硅藻",D86&amp;E86)),"硅藻泥",ISNUMBER(FIND("菠萝圈",D86&amp;E86)),"菠萝圈",AND(ISNUMBER(FIND("水晶绒",D86&amp;E86)),ISNUMBER(FIND("包边",D86&amp;E86))),"包边水晶绒",ISNUMBER(FIND("水晶绒",D86&amp;E86)),"水晶绒",ISNUMBER(FIND("天鹅绒",D86&amp;E86)),"天鹅绒",ISNUMBER(FIND("丝圈",D86&amp;E86)),"丝圈",ISNUMBER(FIND("仿羊绒",D86&amp;E86)),"仿羊绒",ISNUMBER(FIND("亚麻",D86&amp;E86)),"亚麻",ISNUMBER(FIND("皮革",D86&amp;E86)),"皮革",ISNUMBER(FIND("金钻绒",D86&amp;E86)),"金钻绒")</f>
        <v>亚麻</v>
      </c>
      <c r="G86" s="10" t="str">
        <f t="shared" si="16"/>
        <v>亚麻</v>
      </c>
      <c r="H86" s="11" t="str" cm="1">
        <f t="array" ref="H86">_wpsfn.REGEXP(_wpsfn.REGEXP(E86,"([至乘xX✖_\-])",2,"*"),"\d+\*\d+(?:[\*\+]\d+)*")</f>
        <v>45*70</v>
      </c>
      <c r="I86" s="10">
        <f t="shared" si="17"/>
        <v>0.315</v>
      </c>
      <c r="J86" s="10">
        <v>45</v>
      </c>
      <c r="K86" s="10">
        <v>70</v>
      </c>
      <c r="L86" s="10">
        <f t="shared" si="21"/>
        <v>0.3969</v>
      </c>
      <c r="M86" s="10">
        <f t="shared" si="22"/>
        <v>5.103</v>
      </c>
      <c r="N86" s="10"/>
      <c r="O86" s="10"/>
      <c r="P86" s="10" t="s">
        <v>72</v>
      </c>
      <c r="Q86" s="10" t="s">
        <v>34</v>
      </c>
      <c r="R86" s="10" t="s">
        <v>74</v>
      </c>
      <c r="S86" s="10" t="s">
        <v>211</v>
      </c>
      <c r="T86" s="10">
        <v>28</v>
      </c>
      <c r="U86" s="10" t="s">
        <v>37</v>
      </c>
      <c r="V86" s="10">
        <v>9999</v>
      </c>
      <c r="W86" s="10" t="s">
        <v>34</v>
      </c>
      <c r="X86" s="10" t="str">
        <f t="shared" si="18"/>
        <v>萨丽麻橡胶底马蹄形织锦树叶棕;45*70cm【耐磨吸水;品质加厚】【亚麻】</v>
      </c>
      <c r="Y86" s="10" t="s">
        <v>34</v>
      </c>
      <c r="Z86" s="10" t="s">
        <v>34</v>
      </c>
      <c r="AA86" s="10" t="str">
        <f t="shared" si="19"/>
        <v>萨丽麻橡胶底马蹄形织锦树叶棕;45*70cm【耐磨吸水;品质加厚】【亚麻】</v>
      </c>
      <c r="AB86" s="10" t="str">
        <f t="shared" si="20"/>
        <v>3710681171269634</v>
      </c>
      <c r="AC86" s="10" t="s">
        <v>34</v>
      </c>
    </row>
    <row r="87" ht="15" spans="1:29">
      <c r="A87" s="10">
        <v>86</v>
      </c>
      <c r="B87" s="10" t="s">
        <v>29</v>
      </c>
      <c r="C87" s="10" t="s">
        <v>69</v>
      </c>
      <c r="D87" s="10" t="s">
        <v>70</v>
      </c>
      <c r="E87" s="10" t="s">
        <v>212</v>
      </c>
      <c r="F87" s="11" t="str" cm="1">
        <f t="array" ref="F87">_xlfn.IFS(ISNUMBER(FIND("硅藻",D87&amp;E87)),"硅藻泥",ISNUMBER(FIND("菠萝圈",D87&amp;E87)),"菠萝圈",AND(ISNUMBER(FIND("水晶绒",D87&amp;E87)),ISNUMBER(FIND("包边",D87&amp;E87))),"包边水晶绒",ISNUMBER(FIND("水晶绒",D87&amp;E87)),"水晶绒",ISNUMBER(FIND("天鹅绒",D87&amp;E87)),"天鹅绒",ISNUMBER(FIND("丝圈",D87&amp;E87)),"丝圈",ISNUMBER(FIND("仿羊绒",D87&amp;E87)),"仿羊绒",ISNUMBER(FIND("亚麻",D87&amp;E87)),"亚麻",ISNUMBER(FIND("皮革",D87&amp;E87)),"皮革",ISNUMBER(FIND("金钻绒",D87&amp;E87)),"金钻绒")</f>
        <v>亚麻</v>
      </c>
      <c r="G87" s="10" t="str">
        <f t="shared" si="16"/>
        <v>亚麻</v>
      </c>
      <c r="H87" s="11" t="str" cm="1">
        <f t="array" ref="H87">_wpsfn.REGEXP(_wpsfn.REGEXP(E87,"([至乘xX✖_\-])",2,"*"),"\d+\*\d+(?:[\*\+]\d+)*")</f>
        <v>45*70</v>
      </c>
      <c r="I87" s="10">
        <f t="shared" si="17"/>
        <v>0.315</v>
      </c>
      <c r="J87" s="10">
        <v>45</v>
      </c>
      <c r="K87" s="10">
        <v>70</v>
      </c>
      <c r="L87" s="10">
        <f t="shared" si="21"/>
        <v>0.3969</v>
      </c>
      <c r="M87" s="10">
        <f t="shared" si="22"/>
        <v>5.103</v>
      </c>
      <c r="N87" s="10"/>
      <c r="O87" s="10"/>
      <c r="P87" s="10" t="s">
        <v>72</v>
      </c>
      <c r="Q87" s="10" t="s">
        <v>34</v>
      </c>
      <c r="R87" s="10" t="s">
        <v>74</v>
      </c>
      <c r="S87" s="10" t="s">
        <v>213</v>
      </c>
      <c r="T87" s="10">
        <v>28</v>
      </c>
      <c r="U87" s="10" t="s">
        <v>37</v>
      </c>
      <c r="V87" s="10">
        <v>9999</v>
      </c>
      <c r="W87" s="10" t="s">
        <v>34</v>
      </c>
      <c r="X87" s="10" t="str">
        <f t="shared" si="18"/>
        <v>萨丽麻橡胶底马蹄形织锦树叶灰;45*70cm【耐磨吸水;品质加厚】【亚麻】</v>
      </c>
      <c r="Y87" s="10" t="s">
        <v>34</v>
      </c>
      <c r="Z87" s="10" t="s">
        <v>34</v>
      </c>
      <c r="AA87" s="10" t="str">
        <f t="shared" si="19"/>
        <v>萨丽麻橡胶底马蹄形织锦树叶灰;45*70cm【耐磨吸水;品质加厚】【亚麻】</v>
      </c>
      <c r="AB87" s="10" t="str">
        <f t="shared" si="20"/>
        <v>3710681171269890</v>
      </c>
      <c r="AC87" s="10" t="s">
        <v>34</v>
      </c>
    </row>
    <row r="88" ht="15" spans="1:29">
      <c r="A88" s="10">
        <v>87</v>
      </c>
      <c r="B88" s="10" t="s">
        <v>29</v>
      </c>
      <c r="C88" s="10" t="s">
        <v>69</v>
      </c>
      <c r="D88" s="10" t="s">
        <v>70</v>
      </c>
      <c r="E88" s="10" t="s">
        <v>214</v>
      </c>
      <c r="F88" s="11" t="str" cm="1">
        <f t="array" ref="F88">_xlfn.IFS(ISNUMBER(FIND("硅藻",D88&amp;E88)),"硅藻泥",ISNUMBER(FIND("菠萝圈",D88&amp;E88)),"菠萝圈",AND(ISNUMBER(FIND("水晶绒",D88&amp;E88)),ISNUMBER(FIND("包边",D88&amp;E88))),"包边水晶绒",ISNUMBER(FIND("水晶绒",D88&amp;E88)),"水晶绒",ISNUMBER(FIND("天鹅绒",D88&amp;E88)),"天鹅绒",ISNUMBER(FIND("丝圈",D88&amp;E88)),"丝圈",ISNUMBER(FIND("仿羊绒",D88&amp;E88)),"仿羊绒",ISNUMBER(FIND("亚麻",D88&amp;E88)),"亚麻",ISNUMBER(FIND("皮革",D88&amp;E88)),"皮革",ISNUMBER(FIND("金钻绒",D88&amp;E88)),"金钻绒")</f>
        <v>亚麻</v>
      </c>
      <c r="G88" s="10" t="str">
        <f t="shared" si="16"/>
        <v>亚麻</v>
      </c>
      <c r="H88" s="11" t="str" cm="1">
        <f t="array" ref="H88">_wpsfn.REGEXP(_wpsfn.REGEXP(E88,"([至乘xX✖_\-])",2,"*"),"\d+\*\d+(?:[\*\+]\d+)*")</f>
        <v>45*70</v>
      </c>
      <c r="I88" s="10">
        <f t="shared" si="17"/>
        <v>0.315</v>
      </c>
      <c r="J88" s="10">
        <v>45</v>
      </c>
      <c r="K88" s="10">
        <v>70</v>
      </c>
      <c r="L88" s="10">
        <f t="shared" si="21"/>
        <v>0.3969</v>
      </c>
      <c r="M88" s="10">
        <f t="shared" si="22"/>
        <v>5.103</v>
      </c>
      <c r="N88" s="10"/>
      <c r="O88" s="10"/>
      <c r="P88" s="10" t="s">
        <v>72</v>
      </c>
      <c r="Q88" s="10" t="s">
        <v>34</v>
      </c>
      <c r="R88" s="10" t="s">
        <v>74</v>
      </c>
      <c r="S88" s="10" t="s">
        <v>215</v>
      </c>
      <c r="T88" s="10">
        <v>28</v>
      </c>
      <c r="U88" s="10" t="s">
        <v>37</v>
      </c>
      <c r="V88" s="10">
        <v>9999</v>
      </c>
      <c r="W88" s="10" t="s">
        <v>34</v>
      </c>
      <c r="X88" s="10" t="str">
        <f t="shared" si="18"/>
        <v>萨丽麻橡胶底芳兰喜乐灰马蹄形;45*70cm【耐磨吸水;品质加厚】【亚麻】</v>
      </c>
      <c r="Y88" s="10" t="s">
        <v>34</v>
      </c>
      <c r="Z88" s="10" t="s">
        <v>34</v>
      </c>
      <c r="AA88" s="10" t="str">
        <f t="shared" si="19"/>
        <v>萨丽麻橡胶底芳兰喜乐灰马蹄形;45*70cm【耐磨吸水;品质加厚】【亚麻】</v>
      </c>
      <c r="AB88" s="10" t="str">
        <f t="shared" si="20"/>
        <v>3710681171270146</v>
      </c>
      <c r="AC88" s="10" t="s">
        <v>34</v>
      </c>
    </row>
    <row r="89" ht="15" spans="1:29">
      <c r="A89" s="10">
        <v>88</v>
      </c>
      <c r="B89" s="10" t="s">
        <v>29</v>
      </c>
      <c r="C89" s="10" t="s">
        <v>69</v>
      </c>
      <c r="D89" s="10" t="s">
        <v>70</v>
      </c>
      <c r="E89" s="10" t="s">
        <v>216</v>
      </c>
      <c r="F89" s="11" t="str" cm="1">
        <f t="array" ref="F89">_xlfn.IFS(ISNUMBER(FIND("硅藻",D89&amp;E89)),"硅藻泥",ISNUMBER(FIND("菠萝圈",D89&amp;E89)),"菠萝圈",AND(ISNUMBER(FIND("水晶绒",D89&amp;E89)),ISNUMBER(FIND("包边",D89&amp;E89))),"包边水晶绒",ISNUMBER(FIND("水晶绒",D89&amp;E89)),"水晶绒",ISNUMBER(FIND("天鹅绒",D89&amp;E89)),"天鹅绒",ISNUMBER(FIND("丝圈",D89&amp;E89)),"丝圈",ISNUMBER(FIND("仿羊绒",D89&amp;E89)),"仿羊绒",ISNUMBER(FIND("亚麻",D89&amp;E89)),"亚麻",ISNUMBER(FIND("皮革",D89&amp;E89)),"皮革",ISNUMBER(FIND("金钻绒",D89&amp;E89)),"金钻绒")</f>
        <v>亚麻</v>
      </c>
      <c r="G89" s="10" t="str">
        <f t="shared" si="16"/>
        <v>亚麻</v>
      </c>
      <c r="H89" s="11" t="str" cm="1">
        <f t="array" ref="H89">_wpsfn.REGEXP(_wpsfn.REGEXP(E89,"([至乘xX✖_\-])",2,"*"),"\d+\*\d+(?:[\*\+]\d+)*")</f>
        <v>45*70</v>
      </c>
      <c r="I89" s="10">
        <f t="shared" si="17"/>
        <v>0.315</v>
      </c>
      <c r="J89" s="10">
        <v>45</v>
      </c>
      <c r="K89" s="10">
        <v>70</v>
      </c>
      <c r="L89" s="10">
        <f t="shared" si="21"/>
        <v>0.3969</v>
      </c>
      <c r="M89" s="10">
        <f t="shared" si="22"/>
        <v>5.103</v>
      </c>
      <c r="N89" s="10"/>
      <c r="O89" s="10"/>
      <c r="P89" s="10" t="s">
        <v>72</v>
      </c>
      <c r="Q89" s="10" t="s">
        <v>34</v>
      </c>
      <c r="R89" s="10" t="s">
        <v>74</v>
      </c>
      <c r="S89" s="10" t="s">
        <v>217</v>
      </c>
      <c r="T89" s="10">
        <v>28</v>
      </c>
      <c r="U89" s="10" t="s">
        <v>37</v>
      </c>
      <c r="V89" s="10">
        <v>9999</v>
      </c>
      <c r="W89" s="10" t="s">
        <v>34</v>
      </c>
      <c r="X89" s="10" t="str">
        <f t="shared" si="18"/>
        <v>萨丽麻橡胶底芳兰喜乐咖马蹄形;45*70cm【耐磨吸水;品质加厚】【亚麻】</v>
      </c>
      <c r="Y89" s="10" t="s">
        <v>34</v>
      </c>
      <c r="Z89" s="10" t="s">
        <v>34</v>
      </c>
      <c r="AA89" s="10" t="str">
        <f t="shared" si="19"/>
        <v>萨丽麻橡胶底芳兰喜乐咖马蹄形;45*70cm【耐磨吸水;品质加厚】【亚麻】</v>
      </c>
      <c r="AB89" s="10" t="str">
        <f t="shared" si="20"/>
        <v>3710681171270402</v>
      </c>
      <c r="AC89" s="10" t="s">
        <v>34</v>
      </c>
    </row>
    <row r="90" ht="15" spans="1:29">
      <c r="A90" s="10">
        <v>89</v>
      </c>
      <c r="B90" s="10" t="s">
        <v>29</v>
      </c>
      <c r="C90" s="10" t="s">
        <v>69</v>
      </c>
      <c r="D90" s="10" t="s">
        <v>218</v>
      </c>
      <c r="E90" s="10" t="s">
        <v>219</v>
      </c>
      <c r="F90" s="11" t="str" cm="1">
        <f t="array" ref="F90">_xlfn.IFS(ISNUMBER(FIND("硅藻",D90&amp;E90)),"硅藻泥",ISNUMBER(FIND("菠萝圈",D90&amp;E90)),"菠萝圈",AND(ISNUMBER(FIND("水晶绒",D90&amp;E90)),ISNUMBER(FIND("包边",D90&amp;E90))),"包边水晶绒",ISNUMBER(FIND("水晶绒",D90&amp;E90)),"水晶绒",ISNUMBER(FIND("天鹅绒",D90&amp;E90)),"天鹅绒",ISNUMBER(FIND("丝圈",D90&amp;E90)),"丝圈",ISNUMBER(FIND("仿羊绒",D90&amp;E90)),"仿羊绒",ISNUMBER(FIND("亚麻",D90&amp;E90)),"亚麻",ISNUMBER(FIND("皮革",D90&amp;E90)),"皮革",ISNUMBER(FIND("金钻绒",D90&amp;E90)),"金钻绒")</f>
        <v>亚麻</v>
      </c>
      <c r="G90" s="10" t="str">
        <f t="shared" si="16"/>
        <v>亚麻</v>
      </c>
      <c r="H90" s="11" t="str" cm="1">
        <f t="array" ref="H90">_wpsfn.REGEXP(_wpsfn.REGEXP(E90,"([至乘xX✖_\-])",2,"*"),"\d+\*\d+(?:[\*\+]\d+)*")</f>
        <v>40*60</v>
      </c>
      <c r="I90" s="10">
        <f t="shared" si="17"/>
        <v>0.24</v>
      </c>
      <c r="J90" s="10">
        <v>40</v>
      </c>
      <c r="K90" s="10">
        <v>60</v>
      </c>
      <c r="L90" s="10">
        <f t="shared" si="21"/>
        <v>0.3024</v>
      </c>
      <c r="M90" s="10">
        <f t="shared" si="22"/>
        <v>3.888</v>
      </c>
      <c r="N90" s="10"/>
      <c r="O90" s="10"/>
      <c r="P90" s="10" t="s">
        <v>72</v>
      </c>
      <c r="Q90" s="10" t="s">
        <v>220</v>
      </c>
      <c r="R90" s="10" t="s">
        <v>221</v>
      </c>
      <c r="S90" s="10" t="s">
        <v>222</v>
      </c>
      <c r="T90" s="10">
        <v>21.8</v>
      </c>
      <c r="U90" s="10" t="s">
        <v>37</v>
      </c>
      <c r="V90" s="10">
        <v>9999</v>
      </c>
      <c r="W90" s="10" t="s">
        <v>34</v>
      </c>
      <c r="X90" s="10" t="str">
        <f t="shared" si="18"/>
        <v>UL米色粉隅鸣羽椭圆;40*60cm【品质加厚】【亚麻】</v>
      </c>
      <c r="Y90" s="10" t="s">
        <v>34</v>
      </c>
      <c r="Z90" s="10" t="s">
        <v>34</v>
      </c>
      <c r="AA90" s="10" t="str">
        <f t="shared" si="19"/>
        <v>UL米色粉隅鸣羽椭圆;40*60cm【品质加厚】【亚麻】</v>
      </c>
      <c r="AB90" s="10" t="str">
        <f t="shared" si="20"/>
        <v>3710765728473858</v>
      </c>
      <c r="AC90" s="10" t="s">
        <v>34</v>
      </c>
    </row>
    <row r="91" ht="15" spans="1:29">
      <c r="A91" s="10">
        <v>90</v>
      </c>
      <c r="B91" s="10" t="s">
        <v>29</v>
      </c>
      <c r="C91" s="10" t="s">
        <v>69</v>
      </c>
      <c r="D91" s="10" t="s">
        <v>218</v>
      </c>
      <c r="E91" s="10" t="s">
        <v>223</v>
      </c>
      <c r="F91" s="11" t="str" cm="1">
        <f t="array" ref="F91">_xlfn.IFS(ISNUMBER(FIND("硅藻",D91&amp;E91)),"硅藻泥",ISNUMBER(FIND("菠萝圈",D91&amp;E91)),"菠萝圈",AND(ISNUMBER(FIND("水晶绒",D91&amp;E91)),ISNUMBER(FIND("包边",D91&amp;E91))),"包边水晶绒",ISNUMBER(FIND("水晶绒",D91&amp;E91)),"水晶绒",ISNUMBER(FIND("天鹅绒",D91&amp;E91)),"天鹅绒",ISNUMBER(FIND("丝圈",D91&amp;E91)),"丝圈",ISNUMBER(FIND("仿羊绒",D91&amp;E91)),"仿羊绒",ISNUMBER(FIND("亚麻",D91&amp;E91)),"亚麻",ISNUMBER(FIND("皮革",D91&amp;E91)),"皮革",ISNUMBER(FIND("金钻绒",D91&amp;E91)),"金钻绒")</f>
        <v>亚麻</v>
      </c>
      <c r="G91" s="10" t="str">
        <f t="shared" si="16"/>
        <v>亚麻</v>
      </c>
      <c r="H91" s="11" t="str" cm="1">
        <f t="array" ref="H91">_wpsfn.REGEXP(_wpsfn.REGEXP(E91,"([至乘xX✖_\-])",2,"*"),"\d+\*\d+(?:[\*\+]\d+)*")</f>
        <v>50*80</v>
      </c>
      <c r="I91" s="10">
        <f t="shared" si="17"/>
        <v>0.4</v>
      </c>
      <c r="J91" s="10">
        <v>50</v>
      </c>
      <c r="K91" s="10">
        <v>80</v>
      </c>
      <c r="L91" s="10">
        <f t="shared" si="21"/>
        <v>0.504</v>
      </c>
      <c r="M91" s="10">
        <f t="shared" si="22"/>
        <v>6.48</v>
      </c>
      <c r="N91" s="10"/>
      <c r="O91" s="10"/>
      <c r="P91" s="10" t="s">
        <v>72</v>
      </c>
      <c r="Q91" s="10" t="s">
        <v>220</v>
      </c>
      <c r="R91" s="10" t="s">
        <v>221</v>
      </c>
      <c r="S91" s="10" t="s">
        <v>224</v>
      </c>
      <c r="T91" s="10">
        <v>35.8</v>
      </c>
      <c r="U91" s="10" t="s">
        <v>37</v>
      </c>
      <c r="V91" s="10">
        <v>9999</v>
      </c>
      <c r="W91" s="10" t="s">
        <v>34</v>
      </c>
      <c r="X91" s="10" t="str">
        <f t="shared" si="18"/>
        <v>UL米色粉隅鸣羽椭圆;50*80cm【品质加厚】【亚麻】</v>
      </c>
      <c r="Y91" s="10" t="s">
        <v>34</v>
      </c>
      <c r="Z91" s="10" t="s">
        <v>34</v>
      </c>
      <c r="AA91" s="10" t="str">
        <f t="shared" si="19"/>
        <v>UL米色粉隅鸣羽椭圆;50*80cm【品质加厚】【亚麻】</v>
      </c>
      <c r="AB91" s="10" t="str">
        <f t="shared" si="20"/>
        <v>3710765728474114</v>
      </c>
      <c r="AC91" s="10" t="s">
        <v>34</v>
      </c>
    </row>
    <row r="92" ht="15" spans="1:29">
      <c r="A92" s="10">
        <v>91</v>
      </c>
      <c r="B92" s="10" t="s">
        <v>29</v>
      </c>
      <c r="C92" s="10" t="s">
        <v>69</v>
      </c>
      <c r="D92" s="10" t="s">
        <v>218</v>
      </c>
      <c r="E92" s="10" t="s">
        <v>225</v>
      </c>
      <c r="F92" s="11" t="str" cm="1">
        <f t="array" ref="F92">_xlfn.IFS(ISNUMBER(FIND("硅藻",D92&amp;E92)),"硅藻泥",ISNUMBER(FIND("菠萝圈",D92&amp;E92)),"菠萝圈",AND(ISNUMBER(FIND("水晶绒",D92&amp;E92)),ISNUMBER(FIND("包边",D92&amp;E92))),"包边水晶绒",ISNUMBER(FIND("水晶绒",D92&amp;E92)),"水晶绒",ISNUMBER(FIND("天鹅绒",D92&amp;E92)),"天鹅绒",ISNUMBER(FIND("丝圈",D92&amp;E92)),"丝圈",ISNUMBER(FIND("仿羊绒",D92&amp;E92)),"仿羊绒",ISNUMBER(FIND("亚麻",D92&amp;E92)),"亚麻",ISNUMBER(FIND("皮革",D92&amp;E92)),"皮革",ISNUMBER(FIND("金钻绒",D92&amp;E92)),"金钻绒")</f>
        <v>亚麻</v>
      </c>
      <c r="G92" s="10" t="str">
        <f t="shared" si="16"/>
        <v>亚麻</v>
      </c>
      <c r="H92" s="11" t="str" cm="1">
        <f t="array" ref="H92">_wpsfn.REGEXP(_wpsfn.REGEXP(E92,"([至乘xX✖_\-])",2,"*"),"\d+\*\d+(?:[\*\+]\d+)*")</f>
        <v>60*90</v>
      </c>
      <c r="I92" s="10">
        <f t="shared" si="17"/>
        <v>0.54</v>
      </c>
      <c r="J92" s="10">
        <v>60</v>
      </c>
      <c r="K92" s="10">
        <v>90</v>
      </c>
      <c r="L92" s="10">
        <f t="shared" si="21"/>
        <v>0.6804</v>
      </c>
      <c r="M92" s="10">
        <f t="shared" si="22"/>
        <v>8.748</v>
      </c>
      <c r="N92" s="10"/>
      <c r="O92" s="10"/>
      <c r="P92" s="10" t="s">
        <v>72</v>
      </c>
      <c r="Q92" s="10" t="s">
        <v>220</v>
      </c>
      <c r="R92" s="10" t="s">
        <v>221</v>
      </c>
      <c r="S92" s="10" t="s">
        <v>226</v>
      </c>
      <c r="T92" s="10">
        <v>43</v>
      </c>
      <c r="U92" s="10" t="s">
        <v>37</v>
      </c>
      <c r="V92" s="10">
        <v>9999</v>
      </c>
      <c r="W92" s="10" t="s">
        <v>34</v>
      </c>
      <c r="X92" s="10" t="str">
        <f t="shared" si="18"/>
        <v>UL米色粉隅鸣羽椭圆;60*90cm【品质加厚】【亚麻】</v>
      </c>
      <c r="Y92" s="10" t="s">
        <v>34</v>
      </c>
      <c r="Z92" s="10" t="s">
        <v>34</v>
      </c>
      <c r="AA92" s="10" t="str">
        <f t="shared" si="19"/>
        <v>UL米色粉隅鸣羽椭圆;60*90cm【品质加厚】【亚麻】</v>
      </c>
      <c r="AB92" s="10" t="str">
        <f t="shared" si="20"/>
        <v>3710765728474370</v>
      </c>
      <c r="AC92" s="10" t="s">
        <v>34</v>
      </c>
    </row>
    <row r="93" ht="15" spans="1:29">
      <c r="A93" s="10">
        <v>92</v>
      </c>
      <c r="B93" s="10" t="s">
        <v>29</v>
      </c>
      <c r="C93" s="10" t="s">
        <v>69</v>
      </c>
      <c r="D93" s="10" t="s">
        <v>218</v>
      </c>
      <c r="E93" s="10" t="s">
        <v>227</v>
      </c>
      <c r="F93" s="11" t="str" cm="1">
        <f t="array" ref="F93">_xlfn.IFS(ISNUMBER(FIND("硅藻",D93&amp;E93)),"硅藻泥",ISNUMBER(FIND("菠萝圈",D93&amp;E93)),"菠萝圈",AND(ISNUMBER(FIND("水晶绒",D93&amp;E93)),ISNUMBER(FIND("包边",D93&amp;E93))),"包边水晶绒",ISNUMBER(FIND("水晶绒",D93&amp;E93)),"水晶绒",ISNUMBER(FIND("天鹅绒",D93&amp;E93)),"天鹅绒",ISNUMBER(FIND("丝圈",D93&amp;E93)),"丝圈",ISNUMBER(FIND("仿羊绒",D93&amp;E93)),"仿羊绒",ISNUMBER(FIND("亚麻",D93&amp;E93)),"亚麻",ISNUMBER(FIND("皮革",D93&amp;E93)),"皮革",ISNUMBER(FIND("金钻绒",D93&amp;E93)),"金钻绒")</f>
        <v>亚麻</v>
      </c>
      <c r="G93" s="10" t="str">
        <f t="shared" si="16"/>
        <v>亚麻</v>
      </c>
      <c r="H93" s="11" t="str" cm="1">
        <f t="array" ref="H93">_wpsfn.REGEXP(_wpsfn.REGEXP(E93,"([至乘xX✖_\-])",2,"*"),"\d+\*\d+(?:[\*\+]\d+)*")</f>
        <v>40*60</v>
      </c>
      <c r="I93" s="10">
        <f t="shared" si="17"/>
        <v>0.24</v>
      </c>
      <c r="J93" s="10">
        <v>40</v>
      </c>
      <c r="K93" s="10">
        <v>60</v>
      </c>
      <c r="L93" s="10">
        <f t="shared" si="21"/>
        <v>0.3024</v>
      </c>
      <c r="M93" s="10">
        <f t="shared" si="22"/>
        <v>3.888</v>
      </c>
      <c r="N93" s="10"/>
      <c r="O93" s="10"/>
      <c r="P93" s="10" t="s">
        <v>72</v>
      </c>
      <c r="Q93" s="10" t="s">
        <v>220</v>
      </c>
      <c r="R93" s="10" t="s">
        <v>221</v>
      </c>
      <c r="S93" s="10" t="s">
        <v>228</v>
      </c>
      <c r="T93" s="10">
        <v>21.8</v>
      </c>
      <c r="U93" s="10" t="s">
        <v>37</v>
      </c>
      <c r="V93" s="10">
        <v>9999</v>
      </c>
      <c r="W93" s="10" t="s">
        <v>34</v>
      </c>
      <c r="X93" s="10" t="str">
        <f t="shared" si="18"/>
        <v>UL米色青垣雀绽椭圆;40*60cm【品质加厚】【亚麻】</v>
      </c>
      <c r="Y93" s="10" t="s">
        <v>34</v>
      </c>
      <c r="Z93" s="10" t="s">
        <v>34</v>
      </c>
      <c r="AA93" s="10" t="str">
        <f t="shared" si="19"/>
        <v>UL米色青垣雀绽椭圆;40*60cm【品质加厚】【亚麻】</v>
      </c>
      <c r="AB93" s="10" t="str">
        <f t="shared" si="20"/>
        <v>3710765728474626</v>
      </c>
      <c r="AC93" s="10" t="s">
        <v>34</v>
      </c>
    </row>
    <row r="94" ht="15" spans="1:29">
      <c r="A94" s="10">
        <v>93</v>
      </c>
      <c r="B94" s="10" t="s">
        <v>29</v>
      </c>
      <c r="C94" s="10" t="s">
        <v>69</v>
      </c>
      <c r="D94" s="10" t="s">
        <v>218</v>
      </c>
      <c r="E94" s="10" t="s">
        <v>229</v>
      </c>
      <c r="F94" s="11" t="str" cm="1">
        <f t="array" ref="F94">_xlfn.IFS(ISNUMBER(FIND("硅藻",D94&amp;E94)),"硅藻泥",ISNUMBER(FIND("菠萝圈",D94&amp;E94)),"菠萝圈",AND(ISNUMBER(FIND("水晶绒",D94&amp;E94)),ISNUMBER(FIND("包边",D94&amp;E94))),"包边水晶绒",ISNUMBER(FIND("水晶绒",D94&amp;E94)),"水晶绒",ISNUMBER(FIND("天鹅绒",D94&amp;E94)),"天鹅绒",ISNUMBER(FIND("丝圈",D94&amp;E94)),"丝圈",ISNUMBER(FIND("仿羊绒",D94&amp;E94)),"仿羊绒",ISNUMBER(FIND("亚麻",D94&amp;E94)),"亚麻",ISNUMBER(FIND("皮革",D94&amp;E94)),"皮革",ISNUMBER(FIND("金钻绒",D94&amp;E94)),"金钻绒")</f>
        <v>亚麻</v>
      </c>
      <c r="G94" s="10" t="str">
        <f t="shared" si="16"/>
        <v>亚麻</v>
      </c>
      <c r="H94" s="11" t="str" cm="1">
        <f t="array" ref="H94">_wpsfn.REGEXP(_wpsfn.REGEXP(E94,"([至乘xX✖_\-])",2,"*"),"\d+\*\d+(?:[\*\+]\d+)*")</f>
        <v>50*80</v>
      </c>
      <c r="I94" s="10">
        <f t="shared" si="17"/>
        <v>0.4</v>
      </c>
      <c r="J94" s="10">
        <v>50</v>
      </c>
      <c r="K94" s="10">
        <v>80</v>
      </c>
      <c r="L94" s="10">
        <f t="shared" si="21"/>
        <v>0.504</v>
      </c>
      <c r="M94" s="10">
        <f t="shared" si="22"/>
        <v>6.48</v>
      </c>
      <c r="N94" s="10"/>
      <c r="O94" s="10"/>
      <c r="P94" s="10" t="s">
        <v>72</v>
      </c>
      <c r="Q94" s="10" t="s">
        <v>220</v>
      </c>
      <c r="R94" s="10" t="s">
        <v>221</v>
      </c>
      <c r="S94" s="10" t="s">
        <v>230</v>
      </c>
      <c r="T94" s="10">
        <v>35.8</v>
      </c>
      <c r="U94" s="10" t="s">
        <v>37</v>
      </c>
      <c r="V94" s="10">
        <v>9999</v>
      </c>
      <c r="W94" s="10" t="s">
        <v>34</v>
      </c>
      <c r="X94" s="10" t="str">
        <f t="shared" si="18"/>
        <v>UL米色青垣雀绽椭圆;50*80cm【品质加厚】【亚麻】</v>
      </c>
      <c r="Y94" s="10" t="s">
        <v>34</v>
      </c>
      <c r="Z94" s="10" t="s">
        <v>34</v>
      </c>
      <c r="AA94" s="10" t="str">
        <f t="shared" si="19"/>
        <v>UL米色青垣雀绽椭圆;50*80cm【品质加厚】【亚麻】</v>
      </c>
      <c r="AB94" s="10" t="str">
        <f t="shared" si="20"/>
        <v>3710765728474882</v>
      </c>
      <c r="AC94" s="10" t="s">
        <v>34</v>
      </c>
    </row>
    <row r="95" ht="15" spans="1:29">
      <c r="A95" s="10">
        <v>94</v>
      </c>
      <c r="B95" s="10" t="s">
        <v>29</v>
      </c>
      <c r="C95" s="10" t="s">
        <v>69</v>
      </c>
      <c r="D95" s="10" t="s">
        <v>218</v>
      </c>
      <c r="E95" s="10" t="s">
        <v>231</v>
      </c>
      <c r="F95" s="11" t="str" cm="1">
        <f t="array" ref="F95">_xlfn.IFS(ISNUMBER(FIND("硅藻",D95&amp;E95)),"硅藻泥",ISNUMBER(FIND("菠萝圈",D95&amp;E95)),"菠萝圈",AND(ISNUMBER(FIND("水晶绒",D95&amp;E95)),ISNUMBER(FIND("包边",D95&amp;E95))),"包边水晶绒",ISNUMBER(FIND("水晶绒",D95&amp;E95)),"水晶绒",ISNUMBER(FIND("天鹅绒",D95&amp;E95)),"天鹅绒",ISNUMBER(FIND("丝圈",D95&amp;E95)),"丝圈",ISNUMBER(FIND("仿羊绒",D95&amp;E95)),"仿羊绒",ISNUMBER(FIND("亚麻",D95&amp;E95)),"亚麻",ISNUMBER(FIND("皮革",D95&amp;E95)),"皮革",ISNUMBER(FIND("金钻绒",D95&amp;E95)),"金钻绒")</f>
        <v>亚麻</v>
      </c>
      <c r="G95" s="10" t="str">
        <f t="shared" si="16"/>
        <v>亚麻</v>
      </c>
      <c r="H95" s="11" t="str" cm="1">
        <f t="array" ref="H95">_wpsfn.REGEXP(_wpsfn.REGEXP(E95,"([至乘xX✖_\-])",2,"*"),"\d+\*\d+(?:[\*\+]\d+)*")</f>
        <v>60*90</v>
      </c>
      <c r="I95" s="10">
        <f t="shared" si="17"/>
        <v>0.54</v>
      </c>
      <c r="J95" s="10">
        <v>60</v>
      </c>
      <c r="K95" s="10">
        <v>90</v>
      </c>
      <c r="L95" s="10">
        <f t="shared" si="21"/>
        <v>0.6804</v>
      </c>
      <c r="M95" s="10">
        <f t="shared" si="22"/>
        <v>8.748</v>
      </c>
      <c r="N95" s="10"/>
      <c r="O95" s="10"/>
      <c r="P95" s="10" t="s">
        <v>72</v>
      </c>
      <c r="Q95" s="10" t="s">
        <v>220</v>
      </c>
      <c r="R95" s="10" t="s">
        <v>221</v>
      </c>
      <c r="S95" s="10" t="s">
        <v>232</v>
      </c>
      <c r="T95" s="10">
        <v>43</v>
      </c>
      <c r="U95" s="10" t="s">
        <v>37</v>
      </c>
      <c r="V95" s="10">
        <v>9999</v>
      </c>
      <c r="W95" s="10" t="s">
        <v>34</v>
      </c>
      <c r="X95" s="10" t="str">
        <f t="shared" si="18"/>
        <v>UL米色青垣雀绽椭圆;60*90cm【品质加厚】【亚麻】</v>
      </c>
      <c r="Y95" s="10" t="s">
        <v>34</v>
      </c>
      <c r="Z95" s="10" t="s">
        <v>34</v>
      </c>
      <c r="AA95" s="10" t="str">
        <f t="shared" si="19"/>
        <v>UL米色青垣雀绽椭圆;60*90cm【品质加厚】【亚麻】</v>
      </c>
      <c r="AB95" s="10" t="str">
        <f t="shared" si="20"/>
        <v>3710765728475138</v>
      </c>
      <c r="AC95" s="10" t="s">
        <v>34</v>
      </c>
    </row>
    <row r="96" ht="15" spans="1:29">
      <c r="A96" s="10">
        <v>95</v>
      </c>
      <c r="B96" s="10" t="s">
        <v>29</v>
      </c>
      <c r="C96" s="10" t="s">
        <v>69</v>
      </c>
      <c r="D96" s="10" t="s">
        <v>218</v>
      </c>
      <c r="E96" s="10" t="s">
        <v>233</v>
      </c>
      <c r="F96" s="11" t="str" cm="1">
        <f t="array" ref="F96">_xlfn.IFS(ISNUMBER(FIND("硅藻",D96&amp;E96)),"硅藻泥",ISNUMBER(FIND("菠萝圈",D96&amp;E96)),"菠萝圈",AND(ISNUMBER(FIND("水晶绒",D96&amp;E96)),ISNUMBER(FIND("包边",D96&amp;E96))),"包边水晶绒",ISNUMBER(FIND("水晶绒",D96&amp;E96)),"水晶绒",ISNUMBER(FIND("天鹅绒",D96&amp;E96)),"天鹅绒",ISNUMBER(FIND("丝圈",D96&amp;E96)),"丝圈",ISNUMBER(FIND("仿羊绒",D96&amp;E96)),"仿羊绒",ISNUMBER(FIND("亚麻",D96&amp;E96)),"亚麻",ISNUMBER(FIND("皮革",D96&amp;E96)),"皮革",ISNUMBER(FIND("金钻绒",D96&amp;E96)),"金钻绒")</f>
        <v>亚麻</v>
      </c>
      <c r="G96" s="10" t="str">
        <f t="shared" si="16"/>
        <v>亚麻</v>
      </c>
      <c r="H96" s="11" t="str" cm="1">
        <f t="array" ref="H96">_wpsfn.REGEXP(_wpsfn.REGEXP(E96,"([至乘xX✖_\-])",2,"*"),"\d+\*\d+(?:[\*\+]\d+)*")</f>
        <v>40*60</v>
      </c>
      <c r="I96" s="10">
        <f t="shared" si="17"/>
        <v>0.24</v>
      </c>
      <c r="J96" s="10">
        <v>40</v>
      </c>
      <c r="K96" s="10">
        <v>60</v>
      </c>
      <c r="L96" s="10">
        <f t="shared" si="21"/>
        <v>0.3024</v>
      </c>
      <c r="M96" s="10">
        <f t="shared" si="22"/>
        <v>3.888</v>
      </c>
      <c r="N96" s="10"/>
      <c r="O96" s="10"/>
      <c r="P96" s="10" t="s">
        <v>72</v>
      </c>
      <c r="Q96" s="10" t="s">
        <v>220</v>
      </c>
      <c r="R96" s="10" t="s">
        <v>221</v>
      </c>
      <c r="S96" s="10" t="s">
        <v>234</v>
      </c>
      <c r="T96" s="10">
        <v>21.8</v>
      </c>
      <c r="U96" s="10" t="s">
        <v>37</v>
      </c>
      <c r="V96" s="10">
        <v>9999</v>
      </c>
      <c r="W96" s="10" t="s">
        <v>34</v>
      </c>
      <c r="X96" s="10" t="str">
        <f t="shared" si="18"/>
        <v>UL米色碎瓷栖燕椭圆;40*60cm【品质加厚】【亚麻】</v>
      </c>
      <c r="Y96" s="10" t="s">
        <v>34</v>
      </c>
      <c r="Z96" s="10" t="s">
        <v>34</v>
      </c>
      <c r="AA96" s="10" t="str">
        <f t="shared" si="19"/>
        <v>UL米色碎瓷栖燕椭圆;40*60cm【品质加厚】【亚麻】</v>
      </c>
      <c r="AB96" s="10" t="str">
        <f t="shared" si="20"/>
        <v>3710765728475394</v>
      </c>
      <c r="AC96" s="10" t="s">
        <v>34</v>
      </c>
    </row>
    <row r="97" ht="15" spans="1:29">
      <c r="A97" s="10">
        <v>96</v>
      </c>
      <c r="B97" s="10" t="s">
        <v>29</v>
      </c>
      <c r="C97" s="10" t="s">
        <v>69</v>
      </c>
      <c r="D97" s="10" t="s">
        <v>218</v>
      </c>
      <c r="E97" s="10" t="s">
        <v>235</v>
      </c>
      <c r="F97" s="11" t="str" cm="1">
        <f t="array" ref="F97">_xlfn.IFS(ISNUMBER(FIND("硅藻",D97&amp;E97)),"硅藻泥",ISNUMBER(FIND("菠萝圈",D97&amp;E97)),"菠萝圈",AND(ISNUMBER(FIND("水晶绒",D97&amp;E97)),ISNUMBER(FIND("包边",D97&amp;E97))),"包边水晶绒",ISNUMBER(FIND("水晶绒",D97&amp;E97)),"水晶绒",ISNUMBER(FIND("天鹅绒",D97&amp;E97)),"天鹅绒",ISNUMBER(FIND("丝圈",D97&amp;E97)),"丝圈",ISNUMBER(FIND("仿羊绒",D97&amp;E97)),"仿羊绒",ISNUMBER(FIND("亚麻",D97&amp;E97)),"亚麻",ISNUMBER(FIND("皮革",D97&amp;E97)),"皮革",ISNUMBER(FIND("金钻绒",D97&amp;E97)),"金钻绒")</f>
        <v>亚麻</v>
      </c>
      <c r="G97" s="10" t="str">
        <f t="shared" si="16"/>
        <v>亚麻</v>
      </c>
      <c r="H97" s="11" t="str" cm="1">
        <f t="array" ref="H97">_wpsfn.REGEXP(_wpsfn.REGEXP(E97,"([至乘xX✖_\-])",2,"*"),"\d+\*\d+(?:[\*\+]\d+)*")</f>
        <v>50*80</v>
      </c>
      <c r="I97" s="10">
        <f t="shared" si="17"/>
        <v>0.4</v>
      </c>
      <c r="J97" s="10">
        <v>50</v>
      </c>
      <c r="K97" s="10">
        <v>80</v>
      </c>
      <c r="L97" s="10">
        <f t="shared" si="21"/>
        <v>0.504</v>
      </c>
      <c r="M97" s="10">
        <f t="shared" si="22"/>
        <v>6.48</v>
      </c>
      <c r="N97" s="10"/>
      <c r="O97" s="10"/>
      <c r="P97" s="10" t="s">
        <v>72</v>
      </c>
      <c r="Q97" s="10" t="s">
        <v>220</v>
      </c>
      <c r="R97" s="10" t="s">
        <v>221</v>
      </c>
      <c r="S97" s="10" t="s">
        <v>236</v>
      </c>
      <c r="T97" s="10">
        <v>35.8</v>
      </c>
      <c r="U97" s="10" t="s">
        <v>37</v>
      </c>
      <c r="V97" s="10">
        <v>9999</v>
      </c>
      <c r="W97" s="10" t="s">
        <v>34</v>
      </c>
      <c r="X97" s="10" t="str">
        <f t="shared" si="18"/>
        <v>UL米色碎瓷栖燕椭圆;50*80cm【品质加厚】【亚麻】</v>
      </c>
      <c r="Y97" s="10" t="s">
        <v>34</v>
      </c>
      <c r="Z97" s="10" t="s">
        <v>34</v>
      </c>
      <c r="AA97" s="10" t="str">
        <f t="shared" si="19"/>
        <v>UL米色碎瓷栖燕椭圆;50*80cm【品质加厚】【亚麻】</v>
      </c>
      <c r="AB97" s="10" t="str">
        <f t="shared" si="20"/>
        <v>3710765728475650</v>
      </c>
      <c r="AC97" s="10" t="s">
        <v>34</v>
      </c>
    </row>
    <row r="98" ht="15" spans="1:29">
      <c r="A98" s="10">
        <v>97</v>
      </c>
      <c r="B98" s="10" t="s">
        <v>29</v>
      </c>
      <c r="C98" s="10" t="s">
        <v>69</v>
      </c>
      <c r="D98" s="10" t="s">
        <v>218</v>
      </c>
      <c r="E98" s="10" t="s">
        <v>237</v>
      </c>
      <c r="F98" s="11" t="str" cm="1">
        <f t="array" ref="F98">_xlfn.IFS(ISNUMBER(FIND("硅藻",D98&amp;E98)),"硅藻泥",ISNUMBER(FIND("菠萝圈",D98&amp;E98)),"菠萝圈",AND(ISNUMBER(FIND("水晶绒",D98&amp;E98)),ISNUMBER(FIND("包边",D98&amp;E98))),"包边水晶绒",ISNUMBER(FIND("水晶绒",D98&amp;E98)),"水晶绒",ISNUMBER(FIND("天鹅绒",D98&amp;E98)),"天鹅绒",ISNUMBER(FIND("丝圈",D98&amp;E98)),"丝圈",ISNUMBER(FIND("仿羊绒",D98&amp;E98)),"仿羊绒",ISNUMBER(FIND("亚麻",D98&amp;E98)),"亚麻",ISNUMBER(FIND("皮革",D98&amp;E98)),"皮革",ISNUMBER(FIND("金钻绒",D98&amp;E98)),"金钻绒")</f>
        <v>亚麻</v>
      </c>
      <c r="G98" s="10" t="str">
        <f t="shared" si="16"/>
        <v>亚麻</v>
      </c>
      <c r="H98" s="11" t="str" cm="1">
        <f t="array" ref="H98">_wpsfn.REGEXP(_wpsfn.REGEXP(E98,"([至乘xX✖_\-])",2,"*"),"\d+\*\d+(?:[\*\+]\d+)*")</f>
        <v>60*90</v>
      </c>
      <c r="I98" s="10">
        <f t="shared" si="17"/>
        <v>0.54</v>
      </c>
      <c r="J98" s="10">
        <v>60</v>
      </c>
      <c r="K98" s="10">
        <v>90</v>
      </c>
      <c r="L98" s="10">
        <f t="shared" si="21"/>
        <v>0.6804</v>
      </c>
      <c r="M98" s="10">
        <f t="shared" si="22"/>
        <v>8.748</v>
      </c>
      <c r="N98" s="10"/>
      <c r="O98" s="10"/>
      <c r="P98" s="10" t="s">
        <v>72</v>
      </c>
      <c r="Q98" s="10" t="s">
        <v>220</v>
      </c>
      <c r="R98" s="10" t="s">
        <v>221</v>
      </c>
      <c r="S98" s="10" t="s">
        <v>238</v>
      </c>
      <c r="T98" s="10">
        <v>43</v>
      </c>
      <c r="U98" s="10" t="s">
        <v>37</v>
      </c>
      <c r="V98" s="10">
        <v>9999</v>
      </c>
      <c r="W98" s="10" t="s">
        <v>34</v>
      </c>
      <c r="X98" s="10" t="str">
        <f t="shared" si="18"/>
        <v>UL米色碎瓷栖燕椭圆;60*90cm【品质加厚】【亚麻】</v>
      </c>
      <c r="Y98" s="10" t="s">
        <v>34</v>
      </c>
      <c r="Z98" s="10" t="s">
        <v>34</v>
      </c>
      <c r="AA98" s="10" t="str">
        <f t="shared" si="19"/>
        <v>UL米色碎瓷栖燕椭圆;60*90cm【品质加厚】【亚麻】</v>
      </c>
      <c r="AB98" s="10" t="str">
        <f t="shared" si="20"/>
        <v>3710765728475906</v>
      </c>
      <c r="AC98" s="10" t="s">
        <v>34</v>
      </c>
    </row>
    <row r="99" ht="15" spans="1:29">
      <c r="A99" s="10">
        <v>98</v>
      </c>
      <c r="B99" s="10" t="s">
        <v>29</v>
      </c>
      <c r="C99" s="10" t="s">
        <v>69</v>
      </c>
      <c r="D99" s="10" t="s">
        <v>218</v>
      </c>
      <c r="E99" s="10" t="s">
        <v>239</v>
      </c>
      <c r="F99" s="11" t="str" cm="1">
        <f t="array" ref="F99">_xlfn.IFS(ISNUMBER(FIND("硅藻",D99&amp;E99)),"硅藻泥",ISNUMBER(FIND("菠萝圈",D99&amp;E99)),"菠萝圈",AND(ISNUMBER(FIND("水晶绒",D99&amp;E99)),ISNUMBER(FIND("包边",D99&amp;E99))),"包边水晶绒",ISNUMBER(FIND("水晶绒",D99&amp;E99)),"水晶绒",ISNUMBER(FIND("天鹅绒",D99&amp;E99)),"天鹅绒",ISNUMBER(FIND("丝圈",D99&amp;E99)),"丝圈",ISNUMBER(FIND("仿羊绒",D99&amp;E99)),"仿羊绒",ISNUMBER(FIND("亚麻",D99&amp;E99)),"亚麻",ISNUMBER(FIND("皮革",D99&amp;E99)),"皮革",ISNUMBER(FIND("金钻绒",D99&amp;E99)),"金钻绒")</f>
        <v>亚麻</v>
      </c>
      <c r="G99" s="10" t="str">
        <f>F99</f>
        <v>亚麻</v>
      </c>
      <c r="H99" s="11" t="str" cm="1">
        <f t="array" ref="H99">_wpsfn.REGEXP(_wpsfn.REGEXP(E99,"([至乘xX✖_\-])",2,"*"),"\d+\*\d+(?:[\*\+]\d+)*")</f>
        <v>45*70</v>
      </c>
      <c r="I99" s="10">
        <f>J99*K99/10000</f>
        <v>0.315</v>
      </c>
      <c r="J99" s="10">
        <v>45</v>
      </c>
      <c r="K99" s="10">
        <v>70</v>
      </c>
      <c r="L99" s="10">
        <f t="shared" si="21"/>
        <v>0.3969</v>
      </c>
      <c r="M99" s="10">
        <f t="shared" si="22"/>
        <v>5.103</v>
      </c>
      <c r="N99" s="10"/>
      <c r="O99" s="10"/>
      <c r="P99" s="10" t="s">
        <v>72</v>
      </c>
      <c r="Q99" s="10" t="s">
        <v>34</v>
      </c>
      <c r="R99" s="10" t="s">
        <v>221</v>
      </c>
      <c r="S99" s="10" t="s">
        <v>240</v>
      </c>
      <c r="T99" s="10">
        <v>28</v>
      </c>
      <c r="U99" s="10" t="s">
        <v>37</v>
      </c>
      <c r="V99" s="10">
        <v>9999</v>
      </c>
      <c r="W99" s="10" t="s">
        <v>34</v>
      </c>
      <c r="X99" s="10" t="str">
        <f>E99</f>
        <v>UL米色粉隅鸣羽椭圆;45*70cm【品质加厚】【亚麻】</v>
      </c>
      <c r="Y99" s="10" t="s">
        <v>34</v>
      </c>
      <c r="Z99" s="10" t="s">
        <v>34</v>
      </c>
      <c r="AA99" s="10" t="str">
        <f>X99</f>
        <v>UL米色粉隅鸣羽椭圆;45*70cm【品质加厚】【亚麻】</v>
      </c>
      <c r="AB99" s="10" t="str">
        <f>S99</f>
        <v>3710800030075138</v>
      </c>
      <c r="AC99" s="10" t="s">
        <v>34</v>
      </c>
    </row>
    <row r="100" ht="15" spans="1:29">
      <c r="A100" s="10">
        <v>99</v>
      </c>
      <c r="B100" s="10" t="s">
        <v>29</v>
      </c>
      <c r="C100" s="10" t="s">
        <v>69</v>
      </c>
      <c r="D100" s="10" t="s">
        <v>218</v>
      </c>
      <c r="E100" s="10" t="s">
        <v>241</v>
      </c>
      <c r="F100" s="11" t="str" cm="1">
        <f t="array" ref="F100">_xlfn.IFS(ISNUMBER(FIND("硅藻",D100&amp;E100)),"硅藻泥",ISNUMBER(FIND("菠萝圈",D100&amp;E100)),"菠萝圈",AND(ISNUMBER(FIND("水晶绒",D100&amp;E100)),ISNUMBER(FIND("包边",D100&amp;E100))),"包边水晶绒",ISNUMBER(FIND("水晶绒",D100&amp;E100)),"水晶绒",ISNUMBER(FIND("天鹅绒",D100&amp;E100)),"天鹅绒",ISNUMBER(FIND("丝圈",D100&amp;E100)),"丝圈",ISNUMBER(FIND("仿羊绒",D100&amp;E100)),"仿羊绒",ISNUMBER(FIND("亚麻",D100&amp;E100)),"亚麻",ISNUMBER(FIND("皮革",D100&amp;E100)),"皮革",ISNUMBER(FIND("金钻绒",D100&amp;E100)),"金钻绒")</f>
        <v>亚麻</v>
      </c>
      <c r="G100" s="10" t="str">
        <f>F100</f>
        <v>亚麻</v>
      </c>
      <c r="H100" s="11" t="str" cm="1">
        <f t="array" ref="H100">_wpsfn.REGEXP(_wpsfn.REGEXP(E100,"([至乘xX✖_\-])",2,"*"),"\d+\*\d+(?:[\*\+]\d+)*")</f>
        <v>45*70</v>
      </c>
      <c r="I100" s="10">
        <f>J100*K100/10000</f>
        <v>0.315</v>
      </c>
      <c r="J100" s="10">
        <v>45</v>
      </c>
      <c r="K100" s="10">
        <v>70</v>
      </c>
      <c r="L100" s="10">
        <f t="shared" si="21"/>
        <v>0.3969</v>
      </c>
      <c r="M100" s="10">
        <f t="shared" si="22"/>
        <v>5.103</v>
      </c>
      <c r="N100" s="10"/>
      <c r="O100" s="10"/>
      <c r="P100" s="10" t="s">
        <v>72</v>
      </c>
      <c r="Q100" s="10" t="s">
        <v>34</v>
      </c>
      <c r="R100" s="10" t="s">
        <v>221</v>
      </c>
      <c r="S100" s="10" t="s">
        <v>242</v>
      </c>
      <c r="T100" s="10">
        <v>28</v>
      </c>
      <c r="U100" s="10" t="s">
        <v>37</v>
      </c>
      <c r="V100" s="10">
        <v>9999</v>
      </c>
      <c r="W100" s="10" t="s">
        <v>34</v>
      </c>
      <c r="X100" s="10" t="str">
        <f>E100</f>
        <v>UL米色青垣雀绽椭圆;45*70cm【品质加厚】【亚麻】</v>
      </c>
      <c r="Y100" s="10" t="s">
        <v>34</v>
      </c>
      <c r="Z100" s="10" t="s">
        <v>34</v>
      </c>
      <c r="AA100" s="10" t="str">
        <f>X100</f>
        <v>UL米色青垣雀绽椭圆;45*70cm【品质加厚】【亚麻】</v>
      </c>
      <c r="AB100" s="10" t="str">
        <f>S100</f>
        <v>3710800030075394</v>
      </c>
      <c r="AC100" s="10" t="s">
        <v>34</v>
      </c>
    </row>
    <row r="101" ht="15" spans="1:29">
      <c r="A101" s="10">
        <v>100</v>
      </c>
      <c r="B101" s="10" t="s">
        <v>29</v>
      </c>
      <c r="C101" s="10" t="s">
        <v>69</v>
      </c>
      <c r="D101" s="10" t="s">
        <v>218</v>
      </c>
      <c r="E101" s="10" t="s">
        <v>243</v>
      </c>
      <c r="F101" s="11" t="str" cm="1">
        <f t="array" ref="F101">_xlfn.IFS(ISNUMBER(FIND("硅藻",D101&amp;E101)),"硅藻泥",ISNUMBER(FIND("菠萝圈",D101&amp;E101)),"菠萝圈",AND(ISNUMBER(FIND("水晶绒",D101&amp;E101)),ISNUMBER(FIND("包边",D101&amp;E101))),"包边水晶绒",ISNUMBER(FIND("水晶绒",D101&amp;E101)),"水晶绒",ISNUMBER(FIND("天鹅绒",D101&amp;E101)),"天鹅绒",ISNUMBER(FIND("丝圈",D101&amp;E101)),"丝圈",ISNUMBER(FIND("仿羊绒",D101&amp;E101)),"仿羊绒",ISNUMBER(FIND("亚麻",D101&amp;E101)),"亚麻",ISNUMBER(FIND("皮革",D101&amp;E101)),"皮革",ISNUMBER(FIND("金钻绒",D101&amp;E101)),"金钻绒")</f>
        <v>亚麻</v>
      </c>
      <c r="G101" s="10" t="str">
        <f>F101</f>
        <v>亚麻</v>
      </c>
      <c r="H101" s="11" t="str" cm="1">
        <f t="array" ref="H101">_wpsfn.REGEXP(_wpsfn.REGEXP(E101,"([至乘xX✖_\-])",2,"*"),"\d+\*\d+(?:[\*\+]\d+)*")</f>
        <v>45*70</v>
      </c>
      <c r="I101" s="10">
        <f>J101*K101/10000</f>
        <v>0.315</v>
      </c>
      <c r="J101" s="10">
        <v>45</v>
      </c>
      <c r="K101" s="10">
        <v>70</v>
      </c>
      <c r="L101" s="10">
        <f t="shared" si="21"/>
        <v>0.3969</v>
      </c>
      <c r="M101" s="10">
        <f t="shared" si="22"/>
        <v>5.103</v>
      </c>
      <c r="N101" s="10"/>
      <c r="O101" s="10"/>
      <c r="P101" s="10" t="s">
        <v>72</v>
      </c>
      <c r="Q101" s="10" t="s">
        <v>34</v>
      </c>
      <c r="R101" s="10" t="s">
        <v>221</v>
      </c>
      <c r="S101" s="10" t="s">
        <v>244</v>
      </c>
      <c r="T101" s="10">
        <v>28</v>
      </c>
      <c r="U101" s="10" t="s">
        <v>37</v>
      </c>
      <c r="V101" s="10">
        <v>9999</v>
      </c>
      <c r="W101" s="10" t="s">
        <v>34</v>
      </c>
      <c r="X101" s="10" t="str">
        <f>E101</f>
        <v>UL米色碎瓷栖燕椭圆;45*70cm【品质加厚】【亚麻】</v>
      </c>
      <c r="Y101" s="10" t="s">
        <v>34</v>
      </c>
      <c r="Z101" s="10" t="s">
        <v>34</v>
      </c>
      <c r="AA101" s="10" t="str">
        <f>X101</f>
        <v>UL米色碎瓷栖燕椭圆;45*70cm【品质加厚】【亚麻】</v>
      </c>
      <c r="AB101" s="10" t="str">
        <f>S101</f>
        <v>3710800030075650</v>
      </c>
      <c r="AC101" s="10" t="s">
        <v>34</v>
      </c>
    </row>
  </sheetData>
  <autoFilter xmlns:etc="http://www.wps.cn/officeDocument/2017/etCustomData" ref="A1:AC10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三岁就爱笑.</cp:lastModifiedBy>
  <dcterms:created xsi:type="dcterms:W3CDTF">2026-09-07T06:21:00Z</dcterms:created>
  <dcterms:modified xsi:type="dcterms:W3CDTF">2026-09-07T06:31:32Z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57F26A3F4046411BB8F56EC9F6A7F2C6_13</vt:lpwstr>
  </property>
  <property fmtid="{D5CDD505-2E9C-101B-9397-08002B2CF9AE}" pid="3" name="KSOProductBuildVer">
    <vt:lpwstr>2052-12.1.0.28505</vt:lpwstr>
  </property>
  <property fmtid="{D5CDD505-2E9C-101B-9397-08002B2CF9AE}" pid="4" name="CalculationRule">
    <vt:i4>0</vt:i4>
  </property>
</Properties>
</file>